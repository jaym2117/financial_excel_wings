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son\Desktop\Jason\development\xltest\myproject\"/>
    </mc:Choice>
  </mc:AlternateContent>
  <xr:revisionPtr revIDLastSave="0" documentId="13_ncr:1_{D63E5FE0-E962-4AC7-BF05-4F0A9E960FE5}" xr6:coauthVersionLast="44" xr6:coauthVersionMax="44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Parameters" sheetId="8" r:id="rId1"/>
    <sheet name="Income Statement" sheetId="4" r:id="rId2"/>
    <sheet name="Balance Sheet" sheetId="6" r:id="rId3"/>
    <sheet name="Cash Flow Statement" sheetId="7" r:id="rId4"/>
    <sheet name="Databases" sheetId="5" state="hidden" r:id="rId5"/>
    <sheet name="xlwings.conf" sheetId="2" state="hidden" r:id="rId6"/>
  </sheets>
  <functionGroups builtInGroupCount="19">
    <functionGroup name="xlwings"/>
  </functionGroups>
  <definedNames>
    <definedName name="_xlnm.Print_Area" localSheetId="3">'Cash Flow Statement'!$A$1:$O$40</definedName>
  </definedNames>
  <calcPr calcId="191029"/>
  <extLst>
    <ext xmlns:x14="http://schemas.microsoft.com/office/spreadsheetml/2009/9/main" uri="{8193D73E-4604-4355-AFF4-8A2333D13BE4}">
      <x14:definedNames>
        <x14:definedName name="get_balance_sheet_amou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ash_flow_amoun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income_statement_amoun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net_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net_income_amou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urchasing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retained_earnin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1" i="7" l="1"/>
  <c r="O3" i="7"/>
  <c r="N3" i="7"/>
  <c r="M3" i="7"/>
  <c r="L3" i="7"/>
  <c r="K3" i="7"/>
  <c r="J3" i="7"/>
  <c r="I3" i="7"/>
  <c r="H3" i="7"/>
  <c r="G3" i="7"/>
  <c r="F3" i="7"/>
  <c r="E3" i="7"/>
  <c r="E4" i="7"/>
  <c r="O1" i="7"/>
  <c r="F1" i="7" s="1"/>
  <c r="E1" i="7"/>
  <c r="O2" i="7"/>
  <c r="N2" i="7"/>
  <c r="M2" i="7"/>
  <c r="L2" i="7"/>
  <c r="K2" i="7"/>
  <c r="J2" i="7"/>
  <c r="I2" i="7"/>
  <c r="H2" i="7"/>
  <c r="G2" i="7"/>
  <c r="F2" i="7"/>
  <c r="E2" i="7"/>
  <c r="F4" i="7"/>
  <c r="G4" i="7"/>
  <c r="H4" i="7"/>
  <c r="I4" i="7"/>
  <c r="J4" i="7"/>
  <c r="K4" i="7"/>
  <c r="L4" i="7"/>
  <c r="M4" i="7"/>
  <c r="N4" i="7"/>
  <c r="O4" i="7"/>
  <c r="D3" i="7"/>
  <c r="D4" i="7"/>
  <c r="D2" i="7"/>
  <c r="B7" i="7"/>
  <c r="K2" i="6"/>
  <c r="K1" i="6"/>
  <c r="B3" i="6" s="1"/>
  <c r="G3" i="4"/>
  <c r="G2" i="4"/>
  <c r="G1" i="4"/>
  <c r="E11" i="7"/>
  <c r="F11" i="7"/>
  <c r="G11" i="7"/>
  <c r="H11" i="7"/>
  <c r="I11" i="7"/>
  <c r="J11" i="7"/>
  <c r="K11" i="7"/>
  <c r="L11" i="7"/>
  <c r="M11" i="7"/>
  <c r="N11" i="7"/>
  <c r="D11" i="7"/>
  <c r="H3" i="4"/>
  <c r="H2" i="4"/>
  <c r="B5" i="6"/>
  <c r="B6" i="4"/>
  <c r="K9" i="6"/>
  <c r="E22" i="7"/>
  <c r="O39" i="7"/>
  <c r="E18" i="7"/>
  <c r="O19" i="7"/>
  <c r="O14" i="7"/>
  <c r="F15" i="7"/>
  <c r="O20" i="7"/>
  <c r="O31" i="7"/>
  <c r="E32" i="7"/>
  <c r="E17" i="7"/>
  <c r="E26" i="7"/>
  <c r="E37" i="7"/>
  <c r="O30" i="7"/>
  <c r="F21" i="7"/>
  <c r="O15" i="7"/>
  <c r="E30" i="7"/>
  <c r="F31" i="7"/>
  <c r="F30" i="7"/>
  <c r="O37" i="7"/>
  <c r="F18" i="7"/>
  <c r="O16" i="7"/>
  <c r="E39" i="7"/>
  <c r="O18" i="7"/>
  <c r="F13" i="7"/>
  <c r="O22" i="7"/>
  <c r="F39" i="7"/>
  <c r="F19" i="7"/>
  <c r="F16" i="7"/>
  <c r="F17" i="7"/>
  <c r="F37" i="7"/>
  <c r="E13" i="7"/>
  <c r="E14" i="7"/>
  <c r="F14" i="7"/>
  <c r="F22" i="7"/>
  <c r="E19" i="7"/>
  <c r="E15" i="7"/>
  <c r="O21" i="7"/>
  <c r="F32" i="7"/>
  <c r="F26" i="7"/>
  <c r="E21" i="7"/>
  <c r="E20" i="7"/>
  <c r="E16" i="7"/>
  <c r="O17" i="7"/>
  <c r="O26" i="7"/>
  <c r="O13" i="7"/>
  <c r="E31" i="7"/>
  <c r="O32" i="7"/>
  <c r="F20" i="7"/>
  <c r="K22" i="6"/>
  <c r="K25" i="6"/>
  <c r="K16" i="6"/>
  <c r="K23" i="6"/>
  <c r="K29" i="6"/>
  <c r="K36" i="6"/>
  <c r="K34" i="6"/>
  <c r="K12" i="6"/>
  <c r="K11" i="6"/>
  <c r="K10" i="6"/>
  <c r="K24" i="6"/>
  <c r="K35" i="6"/>
  <c r="K37" i="6"/>
  <c r="G13" i="4"/>
  <c r="G38" i="4"/>
  <c r="G10" i="4"/>
  <c r="G21" i="4"/>
  <c r="G20" i="4"/>
  <c r="G19" i="4"/>
  <c r="G22" i="4"/>
  <c r="G31" i="4"/>
  <c r="G23" i="4"/>
  <c r="G36" i="4"/>
  <c r="G37" i="4"/>
  <c r="G30" i="4"/>
  <c r="G18" i="4"/>
  <c r="B4" i="4" l="1"/>
  <c r="H1" i="4"/>
  <c r="D1" i="7"/>
  <c r="M1" i="7"/>
  <c r="J1" i="7"/>
  <c r="G1" i="7"/>
  <c r="N1" i="7"/>
  <c r="K1" i="7"/>
  <c r="H1" i="7"/>
  <c r="B5" i="7"/>
  <c r="L1" i="7"/>
  <c r="I1" i="7"/>
  <c r="K26" i="6"/>
  <c r="K31" i="6" s="1"/>
  <c r="F33" i="7"/>
  <c r="E33" i="7"/>
  <c r="K38" i="6"/>
  <c r="G24" i="4"/>
  <c r="K13" i="6"/>
  <c r="K18" i="6" s="1"/>
  <c r="O33" i="7"/>
  <c r="F23" i="7"/>
  <c r="E23" i="7"/>
  <c r="O23" i="7"/>
  <c r="F27" i="7"/>
  <c r="E27" i="7"/>
  <c r="G39" i="4"/>
  <c r="O27" i="7"/>
  <c r="G14" i="4"/>
  <c r="D13" i="7"/>
  <c r="D30" i="7"/>
  <c r="D32" i="7"/>
  <c r="H14" i="7"/>
  <c r="H13" i="7"/>
  <c r="H22" i="7"/>
  <c r="M31" i="7"/>
  <c r="M37" i="7"/>
  <c r="J39" i="7"/>
  <c r="J15" i="7"/>
  <c r="J17" i="7"/>
  <c r="L20" i="7"/>
  <c r="L13" i="7"/>
  <c r="L32" i="7"/>
  <c r="G31" i="7"/>
  <c r="G18" i="7"/>
  <c r="I39" i="7"/>
  <c r="I15" i="7"/>
  <c r="I17" i="7"/>
  <c r="N20" i="7"/>
  <c r="N19" i="7"/>
  <c r="N32" i="7"/>
  <c r="K31" i="7"/>
  <c r="K18" i="7"/>
  <c r="D19" i="7"/>
  <c r="D22" i="7"/>
  <c r="H26" i="7"/>
  <c r="M21" i="7"/>
  <c r="J30" i="7"/>
  <c r="J32" i="7"/>
  <c r="L19" i="7"/>
  <c r="G21" i="7"/>
  <c r="G37" i="7"/>
  <c r="I19" i="7"/>
  <c r="N14" i="7"/>
  <c r="N16" i="7"/>
  <c r="K37" i="7"/>
  <c r="L31" i="7"/>
  <c r="G19" i="7"/>
  <c r="I26" i="7"/>
  <c r="N31" i="7"/>
  <c r="K19" i="7"/>
  <c r="D15" i="7"/>
  <c r="H15" i="7"/>
  <c r="H17" i="7"/>
  <c r="M22" i="7"/>
  <c r="L39" i="7"/>
  <c r="G20" i="7"/>
  <c r="I31" i="7"/>
  <c r="N21" i="7"/>
  <c r="K13" i="7"/>
  <c r="D18" i="7"/>
  <c r="D14" i="7"/>
  <c r="D16" i="7"/>
  <c r="H31" i="7"/>
  <c r="H18" i="7"/>
  <c r="M30" i="7"/>
  <c r="M15" i="7"/>
  <c r="M13" i="7"/>
  <c r="J20" i="7"/>
  <c r="J13" i="7"/>
  <c r="J22" i="7"/>
  <c r="L16" i="7"/>
  <c r="L26" i="7"/>
  <c r="G39" i="7"/>
  <c r="G15" i="7"/>
  <c r="G17" i="7"/>
  <c r="I20" i="7"/>
  <c r="I13" i="7"/>
  <c r="I22" i="7"/>
  <c r="N22" i="7"/>
  <c r="N26" i="7"/>
  <c r="K39" i="7"/>
  <c r="K15" i="7"/>
  <c r="K17" i="7"/>
  <c r="D21" i="7"/>
  <c r="D26" i="7"/>
  <c r="D31" i="7"/>
  <c r="H21" i="7"/>
  <c r="H37" i="7"/>
  <c r="M20" i="7"/>
  <c r="M19" i="7"/>
  <c r="M32" i="7"/>
  <c r="J14" i="7"/>
  <c r="J26" i="7"/>
  <c r="L18" i="7"/>
  <c r="G30" i="7"/>
  <c r="G32" i="7"/>
  <c r="I16" i="7"/>
  <c r="K30" i="7"/>
  <c r="D17" i="7"/>
  <c r="M14" i="7"/>
  <c r="J31" i="7"/>
  <c r="L21" i="7"/>
  <c r="G13" i="7"/>
  <c r="I18" i="7"/>
  <c r="N37" i="7"/>
  <c r="K22" i="7"/>
  <c r="D39" i="7"/>
  <c r="D37" i="7"/>
  <c r="H20" i="7"/>
  <c r="H19" i="7"/>
  <c r="H32" i="7"/>
  <c r="M39" i="7"/>
  <c r="M18" i="7"/>
  <c r="M16" i="7"/>
  <c r="J21" i="7"/>
  <c r="J37" i="7"/>
  <c r="L30" i="7"/>
  <c r="L15" i="7"/>
  <c r="L17" i="7"/>
  <c r="G14" i="7"/>
  <c r="G26" i="7"/>
  <c r="G16" i="7"/>
  <c r="I21" i="7"/>
  <c r="I37" i="7"/>
  <c r="N30" i="7"/>
  <c r="N15" i="7"/>
  <c r="N17" i="7"/>
  <c r="K14" i="7"/>
  <c r="K26" i="7"/>
  <c r="K16" i="7"/>
  <c r="D20" i="7"/>
  <c r="H39" i="7"/>
  <c r="H16" i="7"/>
  <c r="M17" i="7"/>
  <c r="J19" i="7"/>
  <c r="L14" i="7"/>
  <c r="L22" i="7"/>
  <c r="I30" i="7"/>
  <c r="I32" i="7"/>
  <c r="N13" i="7"/>
  <c r="K21" i="7"/>
  <c r="J16" i="7"/>
  <c r="I14" i="7"/>
  <c r="N18" i="7"/>
  <c r="K32" i="7"/>
  <c r="H30" i="7"/>
  <c r="M26" i="7"/>
  <c r="J18" i="7"/>
  <c r="L37" i="7"/>
  <c r="G22" i="7"/>
  <c r="N39" i="7"/>
  <c r="K20" i="7"/>
  <c r="H13" i="4"/>
  <c r="H18" i="4"/>
  <c r="H31" i="4"/>
  <c r="H23" i="4"/>
  <c r="H38" i="4"/>
  <c r="H37" i="4"/>
  <c r="H30" i="4"/>
  <c r="H20" i="4"/>
  <c r="H21" i="4"/>
  <c r="H19" i="4"/>
  <c r="H22" i="4"/>
  <c r="H10" i="4"/>
  <c r="H36" i="4"/>
  <c r="I31" i="4" l="1"/>
  <c r="I36" i="4"/>
  <c r="H39" i="4"/>
  <c r="I39" i="4" s="1"/>
  <c r="H14" i="4"/>
  <c r="I10" i="4"/>
  <c r="I23" i="4"/>
  <c r="I22" i="4"/>
  <c r="I30" i="4"/>
  <c r="I13" i="4"/>
  <c r="H24" i="4"/>
  <c r="I24" i="4" s="1"/>
  <c r="I18" i="4"/>
  <c r="I38" i="4"/>
  <c r="I21" i="4"/>
  <c r="I20" i="4"/>
  <c r="I19" i="4"/>
  <c r="I37" i="4"/>
  <c r="E35" i="7"/>
  <c r="E38" i="7" s="1"/>
  <c r="E41" i="7" s="1"/>
  <c r="K27" i="7"/>
  <c r="K23" i="7"/>
  <c r="K33" i="7"/>
  <c r="N27" i="7"/>
  <c r="N23" i="7"/>
  <c r="N35" i="7" s="1"/>
  <c r="N38" i="7" s="1"/>
  <c r="N41" i="7" s="1"/>
  <c r="N33" i="7"/>
  <c r="I27" i="7"/>
  <c r="I23" i="7"/>
  <c r="I35" i="7" s="1"/>
  <c r="I38" i="7" s="1"/>
  <c r="I41" i="7" s="1"/>
  <c r="I33" i="7"/>
  <c r="G27" i="7"/>
  <c r="G23" i="7"/>
  <c r="G33" i="7"/>
  <c r="L27" i="7"/>
  <c r="L23" i="7"/>
  <c r="L33" i="7"/>
  <c r="J27" i="7"/>
  <c r="J23" i="7"/>
  <c r="J33" i="7"/>
  <c r="M23" i="7"/>
  <c r="M27" i="7"/>
  <c r="M33" i="7"/>
  <c r="H27" i="7"/>
  <c r="H23" i="7"/>
  <c r="H33" i="7"/>
  <c r="D27" i="7"/>
  <c r="D33" i="7"/>
  <c r="D23" i="7"/>
  <c r="O35" i="7"/>
  <c r="O38" i="7" s="1"/>
  <c r="O41" i="7" s="1"/>
  <c r="G26" i="4"/>
  <c r="G33" i="4" s="1"/>
  <c r="G15" i="4"/>
  <c r="K40" i="6"/>
  <c r="F35" i="7"/>
  <c r="F38" i="7" s="1"/>
  <c r="F41" i="7" s="1"/>
  <c r="J35" i="7" l="1"/>
  <c r="J38" i="7" s="1"/>
  <c r="J41" i="7" s="1"/>
  <c r="G35" i="7"/>
  <c r="G38" i="7" s="1"/>
  <c r="G41" i="7" s="1"/>
  <c r="H26" i="4"/>
  <c r="H33" i="4" s="1"/>
  <c r="H41" i="4" s="1"/>
  <c r="H42" i="4" s="1"/>
  <c r="D35" i="7"/>
  <c r="D38" i="7" s="1"/>
  <c r="D41" i="7" s="1"/>
  <c r="M35" i="7"/>
  <c r="M38" i="7" s="1"/>
  <c r="M41" i="7" s="1"/>
  <c r="H15" i="4"/>
  <c r="I14" i="4"/>
  <c r="I15" i="4" s="1"/>
  <c r="L35" i="7"/>
  <c r="L38" i="7" s="1"/>
  <c r="L41" i="7" s="1"/>
  <c r="H35" i="7"/>
  <c r="H38" i="7" s="1"/>
  <c r="H41" i="7" s="1"/>
  <c r="K35" i="7"/>
  <c r="K38" i="7" s="1"/>
  <c r="K41" i="7" s="1"/>
  <c r="G27" i="4"/>
  <c r="H27" i="4" l="1"/>
  <c r="I26" i="4"/>
  <c r="I27" i="4" s="1"/>
  <c r="I33" i="4"/>
  <c r="G41" i="4"/>
  <c r="I41" i="4" l="1"/>
  <c r="I42" i="4" s="1"/>
  <c r="G42" i="4"/>
</calcChain>
</file>

<file path=xl/sharedStrings.xml><?xml version="1.0" encoding="utf-8"?>
<sst xmlns="http://schemas.openxmlformats.org/spreadsheetml/2006/main" count="160" uniqueCount="131">
  <si>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</si>
  <si>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</si>
  <si>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</si>
  <si>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</si>
  <si>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</si>
  <si>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</si>
  <si>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</si>
  <si>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</si>
  <si>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</si>
  <si>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</si>
  <si>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</si>
  <si>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</si>
  <si>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</si>
  <si>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</si>
  <si>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companyDB</t>
  </si>
  <si>
    <t>startDate</t>
  </si>
  <si>
    <t>endDate</t>
  </si>
  <si>
    <t>DLSLtd</t>
  </si>
  <si>
    <t>Accounts</t>
  </si>
  <si>
    <t>40000,40001,40010,40030</t>
  </si>
  <si>
    <t>Sales Revenue</t>
  </si>
  <si>
    <t>Revenue</t>
  </si>
  <si>
    <t>Cost of Goods Sold</t>
  </si>
  <si>
    <t>50000</t>
  </si>
  <si>
    <t xml:space="preserve">Gross Profit </t>
  </si>
  <si>
    <t>Gross Margin</t>
  </si>
  <si>
    <t>Variance</t>
  </si>
  <si>
    <t>Current</t>
  </si>
  <si>
    <t>Prior Year</t>
  </si>
  <si>
    <t>General Expenses</t>
  </si>
  <si>
    <t>Legal &amp; Professional Fees</t>
  </si>
  <si>
    <t>Operating Expense</t>
  </si>
  <si>
    <t>Administrative Expense</t>
  </si>
  <si>
    <t>Payroll Expense</t>
  </si>
  <si>
    <t>Selling Expense</t>
  </si>
  <si>
    <t>Vehicle Expense</t>
  </si>
  <si>
    <t>Total General Expenses</t>
  </si>
  <si>
    <t>60501,60502,60503</t>
  </si>
  <si>
    <t>60400,60401</t>
  </si>
  <si>
    <t>60100,60101,60102,60103,60104,60105,60106,60107,60108,60109</t>
  </si>
  <si>
    <t>60201,60202,60203,60204,60205,60206,60207,60208,60209</t>
  </si>
  <si>
    <t>60000,60002,60003,60004,60005</t>
  </si>
  <si>
    <t xml:space="preserve">Net Operating Income </t>
  </si>
  <si>
    <t>Net Operating Margin</t>
  </si>
  <si>
    <t>Financing</t>
  </si>
  <si>
    <t>Discounts - Interest &amp; Others</t>
  </si>
  <si>
    <t>Miscellaneous</t>
  </si>
  <si>
    <t>70003,70004,70005,70006,70007,70008,70010,70013,70015</t>
  </si>
  <si>
    <t>70001,70002,70009</t>
  </si>
  <si>
    <t>Net Income After Financing</t>
  </si>
  <si>
    <t>Other Revenues &amp; Expenses</t>
  </si>
  <si>
    <t>Extraordinary Income &amp; Expenses</t>
  </si>
  <si>
    <t>Inventory/Asset Disposal</t>
  </si>
  <si>
    <t>Provision for Taxes</t>
  </si>
  <si>
    <t>Total Other Revenues &amp; Expenses</t>
  </si>
  <si>
    <t xml:space="preserve">Net Income </t>
  </si>
  <si>
    <t>Net Profit Margin</t>
  </si>
  <si>
    <t>80001,80002</t>
  </si>
  <si>
    <t>80004,80005</t>
  </si>
  <si>
    <t>80003</t>
  </si>
  <si>
    <t>60001,60006,60007,60012,60013,60014,60018,60019,60020,60022,60023,60026,60027,60028,60029,60030,60031,60032,60033,60034,60035,60036,60037,60038,60039,60040,60041,60042,60043,60044,60045,60046,60047,60048,60049,60050,60051,60053,60054,60055,60056,60057,60058,60070</t>
  </si>
  <si>
    <t>Income Statement</t>
  </si>
  <si>
    <t>Databases</t>
  </si>
  <si>
    <t>DLSEnviro</t>
  </si>
  <si>
    <t>DLS_Structures</t>
  </si>
  <si>
    <t>Balance Sheet</t>
  </si>
  <si>
    <t>Assets</t>
  </si>
  <si>
    <t>Current Assets</t>
  </si>
  <si>
    <t>Accounts Receivable</t>
  </si>
  <si>
    <t>Cash &amp; Equivalents</t>
  </si>
  <si>
    <t>Inventories</t>
  </si>
  <si>
    <t>Other Current Assets</t>
  </si>
  <si>
    <t>10100,10101,10102,10103,10104</t>
  </si>
  <si>
    <t>10001,10002,10003,10004,10005,10006,10007,10008,10010</t>
  </si>
  <si>
    <t>10300,10320</t>
  </si>
  <si>
    <t>10203</t>
  </si>
  <si>
    <t>Total Current Assets</t>
  </si>
  <si>
    <t>Long Term Assets</t>
  </si>
  <si>
    <t>Tangible Capital Assets</t>
  </si>
  <si>
    <t>Total Assets</t>
  </si>
  <si>
    <t>10403,10404,10405,10406,10407,10408,10409,10410,10411,10412,10413,10414,10415,10416,10417,10418,10419,10420,10421,10422,10423,10424,10501</t>
  </si>
  <si>
    <t>Liabilities</t>
  </si>
  <si>
    <t>Current Liabilities</t>
  </si>
  <si>
    <t>Accounts Payable</t>
  </si>
  <si>
    <t>Other Current Liabilities</t>
  </si>
  <si>
    <t>Payroll Liabilities</t>
  </si>
  <si>
    <t>Tax Liabilities</t>
  </si>
  <si>
    <t>Total Current Liabilities</t>
  </si>
  <si>
    <t>Long Term Liabilities</t>
  </si>
  <si>
    <t>Other Long Term Liabilities</t>
  </si>
  <si>
    <t>Total Liabilities</t>
  </si>
  <si>
    <t>Shareholders' Equity</t>
  </si>
  <si>
    <t>Class C Special Shares</t>
  </si>
  <si>
    <t>Common Stock</t>
  </si>
  <si>
    <t>Surplus</t>
  </si>
  <si>
    <t>Total Shareholders' Equity</t>
  </si>
  <si>
    <t>Total Liabilities &amp; Shareholders' Equity</t>
  </si>
  <si>
    <t>20100,20101,20102,20103</t>
  </si>
  <si>
    <t>20306</t>
  </si>
  <si>
    <t>20400,20401,20402,20403,20404,20405,20406,20407,20408</t>
  </si>
  <si>
    <t>20203,20204,20205,20206,20207,20208,20209</t>
  </si>
  <si>
    <t>20002,20500,20501,20502,20503,20504,20505,20506,20507,20508,20509,20510,20511,20512,20513,20514,20515,20516,20517,20521,20522,20523,20524,20525,20526,20528,20529,20530</t>
  </si>
  <si>
    <t>30002</t>
  </si>
  <si>
    <t>30000,30001,30003</t>
  </si>
  <si>
    <t>30004,30005,30007,30010</t>
  </si>
  <si>
    <t>Retained Earnings</t>
  </si>
  <si>
    <t>Cash Flow Statement</t>
  </si>
  <si>
    <t>Cash Flow From Operations</t>
  </si>
  <si>
    <t>Net Income</t>
  </si>
  <si>
    <t>Depreciation</t>
  </si>
  <si>
    <t>Total Cash Flows From Operations</t>
  </si>
  <si>
    <t>Cash Flows From Investing Activities</t>
  </si>
  <si>
    <t>Cash Flows From Financing Activities</t>
  </si>
  <si>
    <t>Equipment Sales (Purchase)</t>
  </si>
  <si>
    <t>Company Database</t>
  </si>
  <si>
    <t>Start Date</t>
  </si>
  <si>
    <t>End Date</t>
  </si>
  <si>
    <t>Report Parameters</t>
  </si>
  <si>
    <t>Total Cash Flows From Investing</t>
  </si>
  <si>
    <t>Total Cash Flows From Financing</t>
  </si>
  <si>
    <t>Total Cash Inflows (Outflows)</t>
  </si>
  <si>
    <t>Opening Balance</t>
  </si>
  <si>
    <t>Ending Balance</t>
  </si>
  <si>
    <t>10402,10404,10406,10408,10410,10412,10414,10416,10418,10420,10422,10424</t>
  </si>
  <si>
    <t>10400,10401,10403,10405,10407,10409,10411,10413,10415,10417,10419,10421,10423</t>
  </si>
  <si>
    <t>Other Long-Term Liabilities</t>
  </si>
  <si>
    <t>20002,20500,20501,20502,20503,20504,20505,20506,20507,20508,20509,20510,20511,20512,20513,20514,20515,20516,20517,20521,20522,20523,20524,20525,20526,20528,20529,20530,20531</t>
  </si>
  <si>
    <t>40000,40001,40010,40021,40030,50000,60501,60502,60503,60400,60401,60100,60101,60102,60103,60104,60105,60106,60107,60108,60109,60201,60202,60203,60204,60205,60206,60207,60208,60209,60000,60002,60003,60004,60005,60001,60006,60007,60012,60013,60014,60018,60019,60020,60022,60023,60026,60027,60028,60029,60030,60031,60032,60033,60034,60035,60036,60037,60038,60039,60040,60041,60042,60043,60044,60045,60046,60047,60048,60049,60050,60051,60053,60054,60055,60056,60057,60058,60070,70003,70004,70005,70006,70007,70008,70010,70013,70015,70001,70002,70009,80001,80002,80004,80005,80003</t>
  </si>
  <si>
    <t>Increase (Decrease)</t>
  </si>
  <si>
    <t>Reconciliation</t>
  </si>
  <si>
    <t>DLS_Barn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</si>
</sst>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_ ;[Red]\(&quot;$&quot;#,##0\)"/>
  </numFmts>
  <fonts count="3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Raleway"/>
      <family val="2"/>
    </font>
    <font>
      <sz val="11"/>
      <color theme="1"/>
      <name val="Raleway"/>
      <family val="2"/>
    </font>
    <font>
      <b/>
      <sz val="11"/>
      <color theme="1"/>
      <name val="Calibri"/>
      <family val="2"/>
      <scheme val="minor"/>
    </font>
    <font>
      <b/>
      <sz val="11"/>
      <color theme="1" tint="0.14999847407452621"/>
      <name val="Raleway"/>
      <family val="2"/>
    </font>
    <font>
      <sz val="12"/>
      <color rgb="FF407E4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Raleway"/>
      <family val="2"/>
    </font>
    <font>
      <b/>
      <sz val="11"/>
      <color theme="0"/>
      <name val="Raleway"/>
      <family val="2"/>
    </font>
    <font>
      <b/>
      <sz val="11"/>
      <color theme="2" tint="-0.89999084444715716"/>
      <name val="Raleway"/>
      <family val="2"/>
    </font>
    <font>
      <sz val="11"/>
      <color theme="2" tint="-0.89999084444715716"/>
      <name val="Raleway"/>
      <family val="2"/>
    </font>
    <font>
      <sz val="11"/>
      <color theme="2" tint="-0.89999084444715716"/>
      <name val="Calibri"/>
      <family val="2"/>
      <scheme val="minor"/>
    </font>
    <font>
      <sz val="12"/>
      <color theme="2" tint="-0.89999084444715716"/>
      <name val="Calibri"/>
      <family val="2"/>
      <scheme val="minor"/>
    </font>
    <font>
      <sz val="11"/>
      <color theme="2" tint="-0.749992370372631"/>
      <name val="Raleway"/>
      <family val="2"/>
    </font>
    <font>
      <sz val="11"/>
      <color theme="2" tint="-0.749992370372631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Raleway"/>
      <family val="2"/>
    </font>
    <font>
      <b/>
      <sz val="24"/>
      <color theme="1"/>
      <name val="Montserrat"/>
      <family val="3"/>
    </font>
    <font>
      <sz val="11"/>
      <color rgb="FFCE9178"/>
      <name val="Consolas"/>
      <family val="3"/>
    </font>
    <font>
      <sz val="20"/>
      <color rgb="FF636E50"/>
      <name val="Raleway"/>
      <family val="2"/>
    </font>
    <font>
      <b/>
      <sz val="11"/>
      <color theme="2" tint="-0.89999084444715716"/>
      <name val="Calibri"/>
      <family val="2"/>
      <scheme val="minor"/>
    </font>
    <font>
      <sz val="12"/>
      <color theme="0"/>
      <name val="Raleway"/>
      <family val="2"/>
    </font>
    <font>
      <b/>
      <sz val="12"/>
      <color theme="0"/>
      <name val="Raleway"/>
      <family val="2"/>
    </font>
    <font>
      <b/>
      <sz val="28"/>
      <color rgb="FF195532"/>
      <name val="Raleway"/>
      <family val="2"/>
    </font>
    <font>
      <sz val="20"/>
      <color rgb="FF195532"/>
      <name val="Raleway"/>
      <family val="2"/>
    </font>
    <font>
      <b/>
      <sz val="20"/>
      <color rgb="FF195532"/>
      <name val="Raleway"/>
      <family val="2"/>
    </font>
    <font>
      <sz val="16"/>
      <color rgb="FF195532"/>
      <name val="Raleway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9553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2" fillId="2" borderId="0" xfId="0" applyFont="1" applyFill="1" applyAlignment="1">
      <alignment horizontal="right"/>
    </xf>
    <xf numFmtId="14" fontId="2" fillId="2" borderId="0" xfId="0" applyNumberFormat="1" applyFont="1" applyFill="1"/>
    <xf numFmtId="49" fontId="2" fillId="2" borderId="0" xfId="0" applyNumberFormat="1" applyFont="1" applyFill="1"/>
    <xf numFmtId="49" fontId="2" fillId="3" borderId="0" xfId="0" applyNumberFormat="1" applyFont="1" applyFill="1"/>
    <xf numFmtId="49" fontId="6" fillId="3" borderId="0" xfId="0" applyNumberFormat="1" applyFont="1" applyFill="1"/>
    <xf numFmtId="0" fontId="7" fillId="0" borderId="0" xfId="0" applyFont="1"/>
    <xf numFmtId="49" fontId="2" fillId="0" borderId="0" xfId="0" applyNumberFormat="1" applyFont="1" applyFill="1"/>
    <xf numFmtId="0" fontId="8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Alignment="1">
      <alignment horizontal="right"/>
    </xf>
    <xf numFmtId="0" fontId="13" fillId="0" borderId="1" xfId="0" applyFont="1" applyBorder="1"/>
    <xf numFmtId="0" fontId="14" fillId="0" borderId="0" xfId="0" applyFont="1"/>
    <xf numFmtId="0" fontId="12" fillId="0" borderId="1" xfId="0" applyFont="1" applyBorder="1"/>
    <xf numFmtId="0" fontId="14" fillId="0" borderId="1" xfId="0" applyFont="1" applyBorder="1"/>
    <xf numFmtId="0" fontId="12" fillId="0" borderId="0" xfId="0" applyFont="1" applyFill="1" applyBorder="1"/>
    <xf numFmtId="0" fontId="12" fillId="0" borderId="2" xfId="0" applyFont="1" applyFill="1" applyBorder="1"/>
    <xf numFmtId="0" fontId="14" fillId="0" borderId="2" xfId="0" applyFont="1" applyBorder="1"/>
    <xf numFmtId="0" fontId="12" fillId="0" borderId="1" xfId="0" applyFont="1" applyFill="1" applyBorder="1"/>
    <xf numFmtId="0" fontId="15" fillId="0" borderId="0" xfId="0" applyFont="1"/>
    <xf numFmtId="0" fontId="12" fillId="0" borderId="3" xfId="0" applyFont="1" applyFill="1" applyBorder="1"/>
    <xf numFmtId="0" fontId="15" fillId="0" borderId="0" xfId="0" applyFont="1" applyBorder="1"/>
    <xf numFmtId="0" fontId="16" fillId="0" borderId="0" xfId="0" applyFont="1"/>
    <xf numFmtId="0" fontId="16" fillId="0" borderId="1" xfId="0" applyFont="1" applyBorder="1"/>
    <xf numFmtId="0" fontId="17" fillId="0" borderId="0" xfId="0" applyFont="1"/>
    <xf numFmtId="0" fontId="18" fillId="0" borderId="0" xfId="0" applyFont="1"/>
    <xf numFmtId="0" fontId="18" fillId="0" borderId="1" xfId="0" applyFont="1" applyBorder="1"/>
    <xf numFmtId="0" fontId="12" fillId="0" borderId="5" xfId="0" applyFont="1" applyFill="1" applyBorder="1"/>
    <xf numFmtId="0" fontId="0" fillId="0" borderId="0" xfId="0" applyFill="1"/>
    <xf numFmtId="14" fontId="0" fillId="4" borderId="0" xfId="0" applyNumberFormat="1" applyFill="1" applyProtection="1"/>
    <xf numFmtId="0" fontId="2" fillId="5" borderId="0" xfId="0" applyFont="1" applyFill="1" applyAlignment="1">
      <alignment horizontal="right"/>
    </xf>
    <xf numFmtId="14" fontId="2" fillId="5" borderId="0" xfId="0" applyNumberFormat="1" applyFont="1" applyFill="1"/>
    <xf numFmtId="0" fontId="5" fillId="0" borderId="0" xfId="0" applyFont="1" applyFill="1"/>
    <xf numFmtId="0" fontId="20" fillId="0" borderId="0" xfId="0" applyFont="1"/>
    <xf numFmtId="0" fontId="12" fillId="0" borderId="0" xfId="0" applyFont="1" applyBorder="1"/>
    <xf numFmtId="0" fontId="21" fillId="0" borderId="0" xfId="0" applyFont="1"/>
    <xf numFmtId="164" fontId="0" fillId="0" borderId="0" xfId="0" applyNumberFormat="1"/>
    <xf numFmtId="0" fontId="0" fillId="0" borderId="1" xfId="0" applyBorder="1"/>
    <xf numFmtId="0" fontId="22" fillId="0" borderId="0" xfId="0" applyFont="1" applyAlignment="1">
      <alignment vertical="center"/>
    </xf>
    <xf numFmtId="164" fontId="5" fillId="0" borderId="0" xfId="1" applyNumberFormat="1" applyFont="1" applyAlignment="1">
      <alignment horizontal="left"/>
    </xf>
    <xf numFmtId="164" fontId="5" fillId="0" borderId="1" xfId="1" applyNumberFormat="1" applyFont="1" applyBorder="1" applyAlignment="1">
      <alignment horizontal="left"/>
    </xf>
    <xf numFmtId="0" fontId="7" fillId="0" borderId="1" xfId="0" applyFont="1" applyBorder="1"/>
    <xf numFmtId="0" fontId="7" fillId="0" borderId="3" xfId="0" applyFont="1" applyBorder="1"/>
    <xf numFmtId="0" fontId="0" fillId="0" borderId="3" xfId="0" applyBorder="1"/>
    <xf numFmtId="0" fontId="7" fillId="0" borderId="4" xfId="0" applyFont="1" applyBorder="1"/>
    <xf numFmtId="0" fontId="23" fillId="0" borderId="0" xfId="0" applyFont="1" applyAlignment="1">
      <alignment horizontal="center"/>
    </xf>
    <xf numFmtId="165" fontId="5" fillId="0" borderId="0" xfId="1" applyNumberFormat="1" applyFont="1" applyAlignment="1">
      <alignment horizontal="right"/>
    </xf>
    <xf numFmtId="165" fontId="5" fillId="0" borderId="1" xfId="1" applyNumberFormat="1" applyFont="1" applyBorder="1" applyAlignment="1">
      <alignment horizontal="right"/>
    </xf>
    <xf numFmtId="165" fontId="0" fillId="0" borderId="0" xfId="0" applyNumberFormat="1"/>
    <xf numFmtId="165" fontId="5" fillId="0" borderId="0" xfId="1" applyNumberFormat="1" applyFont="1" applyBorder="1" applyAlignment="1">
      <alignment horizontal="right"/>
    </xf>
    <xf numFmtId="165" fontId="5" fillId="0" borderId="3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right"/>
    </xf>
    <xf numFmtId="165" fontId="0" fillId="0" borderId="3" xfId="0" applyNumberFormat="1" applyBorder="1"/>
    <xf numFmtId="165" fontId="4" fillId="0" borderId="0" xfId="1" applyNumberFormat="1" applyFont="1" applyAlignment="1">
      <alignment horizontal="right"/>
    </xf>
    <xf numFmtId="49" fontId="0" fillId="0" borderId="0" xfId="0" applyNumberFormat="1" applyFill="1"/>
    <xf numFmtId="0" fontId="4" fillId="0" borderId="4" xfId="0" applyFont="1" applyFill="1" applyBorder="1"/>
    <xf numFmtId="0" fontId="0" fillId="0" borderId="4" xfId="0" applyFill="1" applyBorder="1"/>
    <xf numFmtId="165" fontId="4" fillId="0" borderId="4" xfId="1" applyNumberFormat="1" applyFont="1" applyFill="1" applyBorder="1" applyAlignment="1">
      <alignment horizontal="right"/>
    </xf>
    <xf numFmtId="0" fontId="4" fillId="0" borderId="2" xfId="0" applyFont="1" applyFill="1" applyBorder="1"/>
    <xf numFmtId="0" fontId="0" fillId="0" borderId="2" xfId="0" applyFill="1" applyBorder="1"/>
    <xf numFmtId="165" fontId="4" fillId="0" borderId="2" xfId="1" applyNumberFormat="1" applyFont="1" applyBorder="1" applyAlignment="1">
      <alignment horizontal="right"/>
    </xf>
    <xf numFmtId="0" fontId="7" fillId="0" borderId="2" xfId="0" applyFont="1" applyBorder="1"/>
    <xf numFmtId="0" fontId="0" fillId="0" borderId="2" xfId="0" applyBorder="1"/>
    <xf numFmtId="165" fontId="4" fillId="0" borderId="4" xfId="1" applyNumberFormat="1" applyFont="1" applyBorder="1" applyAlignment="1">
      <alignment horizontal="right"/>
    </xf>
    <xf numFmtId="10" fontId="4" fillId="0" borderId="1" xfId="2" applyNumberFormat="1" applyFont="1" applyBorder="1" applyAlignment="1">
      <alignment horizontal="right"/>
    </xf>
    <xf numFmtId="0" fontId="16" fillId="0" borderId="0" xfId="0" applyFont="1" applyBorder="1"/>
    <xf numFmtId="0" fontId="17" fillId="0" borderId="0" xfId="0" applyFont="1" applyBorder="1"/>
    <xf numFmtId="0" fontId="24" fillId="0" borderId="3" xfId="0" applyFont="1" applyBorder="1"/>
    <xf numFmtId="165" fontId="4" fillId="0" borderId="3" xfId="1" applyNumberFormat="1" applyFont="1" applyBorder="1" applyAlignment="1">
      <alignment horizontal="right"/>
    </xf>
    <xf numFmtId="0" fontId="15" fillId="0" borderId="1" xfId="0" applyFont="1" applyBorder="1"/>
    <xf numFmtId="0" fontId="24" fillId="0" borderId="2" xfId="0" applyFont="1" applyBorder="1"/>
    <xf numFmtId="0" fontId="24" fillId="0" borderId="5" xfId="0" applyFont="1" applyBorder="1"/>
    <xf numFmtId="10" fontId="4" fillId="0" borderId="5" xfId="2" applyNumberFormat="1" applyFont="1" applyBorder="1" applyAlignment="1">
      <alignment horizontal="right"/>
    </xf>
    <xf numFmtId="0" fontId="9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/>
    <xf numFmtId="0" fontId="10" fillId="6" borderId="0" xfId="0" applyFont="1" applyFill="1"/>
    <xf numFmtId="0" fontId="25" fillId="6" borderId="0" xfId="0" applyFont="1" applyFill="1"/>
    <xf numFmtId="0" fontId="26" fillId="6" borderId="0" xfId="0" applyFont="1" applyFill="1" applyAlignment="1">
      <alignment horizontal="right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4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Medium4"/>
  <colors>
    <mruColors>
      <color rgb="FF195532"/>
      <color rgb="FF407E41"/>
      <color rgb="FF636E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1152526</xdr:colOff>
      <xdr:row>6</xdr:row>
      <xdr:rowOff>95250</xdr:rowOff>
    </xdr:from>
    <xdr:to>
      <xdr:col>4</xdr:col>
      <xdr:colOff>342900</xdr:colOff>
      <xdr:row>14</xdr:row>
      <xdr:rowOff>19050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5FA8E3F-759E-45D2-8647-F176B652313C}"/>
            </a:ext>
          </a:extLst>
        </xdr:cNvPr>
        <xdr:cNvSpPr/>
      </xdr:nvSpPr>
      <xdr:spPr>
        <a:xfrm>
          <a:off x="1152526" y="1295400"/>
          <a:ext cx="3933824" cy="2028825"/>
        </a:xfrm>
        <a:prstGeom prst="roundRect">
          <a:avLst/>
        </a:prstGeom>
        <a:noFill/>
        <a:ln w="50800" cmpd="sng"/>
        <a:effectLst>
          <a:outerShdw blurRad="50800" dist="38100" dir="2700000" algn="tl" rotWithShape="0">
            <a:prstClr val="black">
              <a:alpha val="38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l"/>
          <a:endParaRPr lang="en-C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2A16E9-137D-4F8F-AC35-1B60595BF065}" name="Table1" displayName="Table1" ref="A1:A7" totalsRowShown="0">
  <autoFilter ref="A1:A7" xr:uid="{86C09282-B8B8-43F9-B579-8E6B3A1AF7E9}"/>
  <tableColumns count="1">
    <tableColumn id="1" xr3:uid="{180F78D5-9E9F-400D-93C1-0FC0E7176ED0}" name="Databas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B7BA-F88A-415C-B599-0F63197C181F}">
  <sheetPr codeName="Sheet6"/>
  <dimension ref="B7:D12"/>
  <sheetViews>
    <sheetView showGridLines="0" workbookViewId="0">
      <selection activeCell="C12" sqref="C12:D12"/>
    </sheetView>
  </sheetViews>
  <sheetFormatPr defaultRowHeight="15.75" x14ac:dyDescent="0.25"/>
  <cols>
    <col min="1" max="1" width="20.25" customWidth="1"/>
    <col min="2" max="2" width="20.75" customWidth="1"/>
    <col min="3" max="4" width="10.625" bestFit="1" customWidth="1"/>
  </cols>
  <sheetData>
    <row r="7" spans="2:4" ht="35.25" x14ac:dyDescent="0.5">
      <c r="B7" s="39"/>
    </row>
    <row r="8" spans="2:4" ht="36" x14ac:dyDescent="0.65">
      <c r="B8" s="41" t="s">
        <v>117</v>
      </c>
    </row>
    <row r="10" spans="2:4" x14ac:dyDescent="0.25">
      <c r="B10" s="40" t="s">
        <v>114</v>
      </c>
      <c r="C10" s="85" t="s">
        <v>64</v>
      </c>
      <c r="D10" s="85"/>
    </row>
    <row r="11" spans="2:4" x14ac:dyDescent="0.25">
      <c r="B11" s="40" t="s">
        <v>115</v>
      </c>
      <c r="C11" s="86">
        <v>43405</v>
      </c>
      <c r="D11" s="86"/>
    </row>
    <row r="12" spans="2:4" x14ac:dyDescent="0.25">
      <c r="B12" s="40" t="s">
        <v>116</v>
      </c>
      <c r="C12" s="86">
        <v>43769</v>
      </c>
      <c r="D12" s="86"/>
    </row>
  </sheetData>
  <mergeCells count="3">
    <mergeCell ref="C10:D10"/>
    <mergeCell ref="C11:D11"/>
    <mergeCell ref="C12:D12"/>
  </mergeCells>
  <dataValidations count="1">
    <dataValidation type="list" allowBlank="1" showInputMessage="1" showErrorMessage="1" errorTitle="Invalid Entry!" promptTitle="CompanyDB" sqref="C10:D10" xr:uid="{4C8C6289-5054-4451-BCD6-4B3A5C4A1F9E}">
      <formula1>INDIRECT("Table1")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2127-2FFC-469B-B9D1-38DA48572A5F}">
  <sheetPr codeName="Sheet4"/>
  <dimension ref="A1:K43"/>
  <sheetViews>
    <sheetView showGridLines="0" zoomScaleNormal="100" zoomScaleSheetLayoutView="100" workbookViewId="0">
      <selection activeCell="C13" sqref="C13"/>
    </sheetView>
  </sheetViews>
  <sheetFormatPr defaultRowHeight="15.75" outlineLevelRow="1" outlineLevelCol="1" x14ac:dyDescent="0.25"/>
  <cols>
    <col min="1" max="1" width="27" style="3" customWidth="1" outlineLevel="1"/>
    <col min="2" max="2" width="1.875" customWidth="1"/>
    <col min="3" max="3" width="14.75" bestFit="1" customWidth="1"/>
    <col min="4" max="4" width="15.5" customWidth="1"/>
    <col min="5" max="5" width="12.875" bestFit="1" customWidth="1"/>
    <col min="6" max="6" width="8.25" customWidth="1"/>
    <col min="7" max="7" width="13.25" bestFit="1" customWidth="1"/>
    <col min="8" max="9" width="12.5" bestFit="1" customWidth="1"/>
    <col min="11" max="11" width="255.625" bestFit="1" customWidth="1"/>
  </cols>
  <sheetData>
    <row r="1" spans="1:11" outlineLevel="1" x14ac:dyDescent="0.25">
      <c r="A1" s="8" t="s">
        <v>14</v>
      </c>
      <c r="G1" s="36" t="str">
        <f>Parameters!C10</f>
        <v>DLS_Structures</v>
      </c>
      <c r="H1" s="36" t="str">
        <f>G1</f>
        <v>DLS_Structures</v>
      </c>
    </row>
    <row r="2" spans="1:11" outlineLevel="1" x14ac:dyDescent="0.25">
      <c r="A2" s="8" t="s">
        <v>15</v>
      </c>
      <c r="G2" s="37">
        <f>Parameters!C11</f>
        <v>43405</v>
      </c>
      <c r="H2" s="37">
        <f>EDATE(G2,-12)</f>
        <v>43040</v>
      </c>
    </row>
    <row r="3" spans="1:11" outlineLevel="1" x14ac:dyDescent="0.25">
      <c r="A3" s="8" t="s">
        <v>16</v>
      </c>
      <c r="G3" s="37">
        <f>Parameters!C12</f>
        <v>43769</v>
      </c>
      <c r="H3" s="37">
        <f>EOMONTH(G3,-12)</f>
        <v>43404</v>
      </c>
    </row>
    <row r="4" spans="1:11" ht="25.5" x14ac:dyDescent="0.35">
      <c r="B4" s="87" t="str">
        <f>IF(G1="DLSLtd", "Dairy Lane Systems Ltd.", IF(G1="DLSEnviro", "DLS Biogas", IF(G1 = "DLS_Structures", "DLS Structures", "Other")))</f>
        <v>DLS Structures</v>
      </c>
      <c r="C4" s="87"/>
      <c r="D4" s="87"/>
      <c r="E4" s="87"/>
      <c r="F4" s="87"/>
      <c r="G4" s="87"/>
      <c r="H4" s="87"/>
      <c r="I4" s="87"/>
    </row>
    <row r="5" spans="1:11" ht="20.25" x14ac:dyDescent="0.3">
      <c r="A5" s="9" t="s">
        <v>18</v>
      </c>
      <c r="B5" s="88" t="s">
        <v>61</v>
      </c>
      <c r="C5" s="88"/>
      <c r="D5" s="88"/>
      <c r="E5" s="88"/>
      <c r="F5" s="88"/>
      <c r="G5" s="88"/>
      <c r="H5" s="88"/>
      <c r="I5" s="88"/>
    </row>
    <row r="6" spans="1:11" ht="20.25" x14ac:dyDescent="0.3">
      <c r="B6" s="88" t="str">
        <f>_xlfn.CONCAT("For The Month Ending ", TEXT(G3, "mmmm dd, yyyy"))</f>
        <v>For The Month Ending October 31, 2019</v>
      </c>
      <c r="C6" s="88"/>
      <c r="D6" s="88"/>
      <c r="E6" s="88"/>
      <c r="F6" s="88"/>
      <c r="G6" s="88"/>
      <c r="H6" s="88"/>
      <c r="I6" s="88"/>
    </row>
    <row r="7" spans="1:11" ht="12" customHeight="1" x14ac:dyDescent="0.25">
      <c r="B7" s="13"/>
      <c r="C7" s="13"/>
      <c r="D7" s="13"/>
      <c r="E7" s="13"/>
      <c r="F7" s="13"/>
      <c r="G7" s="13"/>
      <c r="H7" s="13"/>
      <c r="I7" s="13"/>
    </row>
    <row r="8" spans="1:11" x14ac:dyDescent="0.25">
      <c r="A8" s="4"/>
      <c r="B8" s="83"/>
      <c r="C8" s="83"/>
      <c r="D8" s="83"/>
      <c r="E8" s="83"/>
      <c r="F8" s="83"/>
      <c r="G8" s="84" t="s">
        <v>27</v>
      </c>
      <c r="H8" s="84" t="s">
        <v>28</v>
      </c>
      <c r="I8" s="84" t="s">
        <v>26</v>
      </c>
    </row>
    <row r="9" spans="1:11" ht="18.75" customHeight="1" x14ac:dyDescent="0.25">
      <c r="A9" s="4"/>
      <c r="B9" s="14" t="s">
        <v>21</v>
      </c>
      <c r="C9" s="15"/>
      <c r="D9" s="15"/>
      <c r="E9" s="15"/>
      <c r="F9" s="15"/>
      <c r="G9" s="16"/>
      <c r="H9" s="16"/>
      <c r="I9" s="16"/>
    </row>
    <row r="10" spans="1:11" ht="18.75" customHeight="1" x14ac:dyDescent="0.25">
      <c r="A10" s="10" t="s">
        <v>19</v>
      </c>
      <c r="B10" s="15"/>
      <c r="C10" s="28" t="s">
        <v>20</v>
      </c>
      <c r="D10" s="28"/>
      <c r="E10" s="28"/>
      <c r="F10" s="28"/>
      <c r="G10" s="52">
        <f>IFERROR(-get_income_statement_amount(G$1,G$2,G$3,$A10),0)</f>
        <v>0</v>
      </c>
      <c r="H10" s="52">
        <f>IFERROR(-get_income_statement_amount(H$1,H$2,H$3,$A10),0)</f>
        <v>0</v>
      </c>
      <c r="I10" s="52">
        <f>G10-H10</f>
        <v>0</v>
      </c>
      <c r="K10" s="44"/>
    </row>
    <row r="11" spans="1:11" ht="9.75" customHeight="1" x14ac:dyDescent="0.25">
      <c r="A11" s="10"/>
      <c r="B11" s="15"/>
      <c r="C11" s="15"/>
      <c r="D11" s="15"/>
      <c r="E11" s="15"/>
      <c r="F11" s="15"/>
      <c r="G11" s="52"/>
      <c r="H11" s="52"/>
      <c r="I11" s="52"/>
    </row>
    <row r="12" spans="1:11" ht="18.75" customHeight="1" x14ac:dyDescent="0.25">
      <c r="A12" s="10"/>
      <c r="B12" s="14" t="s">
        <v>22</v>
      </c>
      <c r="C12" s="15"/>
      <c r="D12" s="15"/>
      <c r="E12" s="15"/>
      <c r="F12" s="15"/>
      <c r="G12" s="52"/>
      <c r="H12" s="52"/>
      <c r="I12" s="52"/>
    </row>
    <row r="13" spans="1:11" ht="18.75" customHeight="1" x14ac:dyDescent="0.25">
      <c r="A13" s="10" t="s">
        <v>23</v>
      </c>
      <c r="B13" s="17"/>
      <c r="C13" s="29" t="s">
        <v>22</v>
      </c>
      <c r="D13" s="29"/>
      <c r="E13" s="29"/>
      <c r="F13" s="29"/>
      <c r="G13" s="53" t="str">
        <f>IFERROR(get_income_statement_amount(G$1,G$2,G$3,$A13),0)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13" s="53" t="str">
        <f>IFERROR(get_income_statement_amount(H$1,H$2,H$3,$A13),0)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13" s="53" t="e">
        <f>G13-H13</f>
        <v>#VALUE!</v>
      </c>
    </row>
    <row r="14" spans="1:11" ht="18.75" customHeight="1" x14ac:dyDescent="0.25">
      <c r="A14" s="10"/>
      <c r="B14" s="14" t="s">
        <v>24</v>
      </c>
      <c r="C14" s="18"/>
      <c r="D14" s="18"/>
      <c r="E14" s="18"/>
      <c r="F14" s="18"/>
      <c r="G14" s="59" t="e">
        <f>G10-G13</f>
        <v>#VALUE!</v>
      </c>
      <c r="H14" s="59" t="e">
        <f>H10-H13</f>
        <v>#VALUE!</v>
      </c>
      <c r="I14" s="59" t="e">
        <f>I10-I13</f>
        <v>#VALUE!</v>
      </c>
    </row>
    <row r="15" spans="1:11" ht="18.75" customHeight="1" x14ac:dyDescent="0.25">
      <c r="A15" s="10"/>
      <c r="B15" s="19" t="s">
        <v>25</v>
      </c>
      <c r="C15" s="20"/>
      <c r="D15" s="20"/>
      <c r="E15" s="20"/>
      <c r="F15" s="20"/>
      <c r="G15" s="70" t="e">
        <f>G14/G10</f>
        <v>#VALUE!</v>
      </c>
      <c r="H15" s="70" t="e">
        <f>H14/H10</f>
        <v>#VALUE!</v>
      </c>
      <c r="I15" s="70" t="e">
        <f>I14/I10</f>
        <v>#VALUE!</v>
      </c>
    </row>
    <row r="16" spans="1:11" ht="9.75" customHeight="1" x14ac:dyDescent="0.25">
      <c r="A16" s="10"/>
      <c r="B16" s="18"/>
      <c r="C16" s="18"/>
      <c r="D16" s="18"/>
      <c r="E16" s="18"/>
      <c r="F16" s="18"/>
      <c r="G16" s="52"/>
      <c r="H16" s="52"/>
      <c r="I16" s="52"/>
    </row>
    <row r="17" spans="1:9" ht="18.75" customHeight="1" x14ac:dyDescent="0.25">
      <c r="A17" s="10"/>
      <c r="B17" s="21" t="s">
        <v>29</v>
      </c>
      <c r="C17" s="18"/>
      <c r="D17" s="18"/>
      <c r="E17" s="18"/>
      <c r="F17" s="18"/>
      <c r="G17" s="52"/>
      <c r="H17" s="52"/>
      <c r="I17" s="52"/>
    </row>
    <row r="18" spans="1:9" ht="18.75" customHeight="1" x14ac:dyDescent="0.25">
      <c r="A18" s="10" t="s">
        <v>37</v>
      </c>
      <c r="B18" s="18"/>
      <c r="C18" s="28" t="s">
        <v>32</v>
      </c>
      <c r="D18" s="30"/>
      <c r="E18" s="30"/>
      <c r="F18" s="30"/>
      <c r="G18" s="52" t="str">
        <f t="shared" ref="G18:H23" si="0">IFERROR(get_income_statement_amount(G$1,G$2,G$3,$A18),0)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18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18" s="52" t="e">
        <f>G18-H18</f>
        <v>#VALUE!</v>
      </c>
    </row>
    <row r="19" spans="1:9" ht="18.75" customHeight="1" x14ac:dyDescent="0.25">
      <c r="A19" s="10" t="s">
        <v>38</v>
      </c>
      <c r="B19" s="18"/>
      <c r="C19" s="28" t="s">
        <v>30</v>
      </c>
      <c r="D19" s="30"/>
      <c r="E19" s="30"/>
      <c r="F19" s="30"/>
      <c r="G19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19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19" s="52" t="e">
        <f t="shared" ref="I19:I24" si="1">G19-H19</f>
        <v>#VALUE!</v>
      </c>
    </row>
    <row r="20" spans="1:9" ht="18.75" customHeight="1" x14ac:dyDescent="0.25">
      <c r="A20" s="10" t="s">
        <v>39</v>
      </c>
      <c r="B20" s="18"/>
      <c r="C20" s="28" t="s">
        <v>31</v>
      </c>
      <c r="D20" s="30"/>
      <c r="E20" s="30"/>
      <c r="F20" s="30"/>
      <c r="G20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20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20" s="52" t="e">
        <f t="shared" si="1"/>
        <v>#VALUE!</v>
      </c>
    </row>
    <row r="21" spans="1:9" ht="18.75" customHeight="1" x14ac:dyDescent="0.25">
      <c r="A21" s="10" t="s">
        <v>40</v>
      </c>
      <c r="B21" s="18"/>
      <c r="C21" s="28" t="s">
        <v>33</v>
      </c>
      <c r="D21" s="30"/>
      <c r="E21" s="30"/>
      <c r="F21" s="30"/>
      <c r="G21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21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21" s="52" t="e">
        <f t="shared" si="1"/>
        <v>#VALUE!</v>
      </c>
    </row>
    <row r="22" spans="1:9" ht="18.75" customHeight="1" x14ac:dyDescent="0.25">
      <c r="A22" s="10" t="s">
        <v>41</v>
      </c>
      <c r="B22" s="18"/>
      <c r="C22" s="28" t="s">
        <v>34</v>
      </c>
      <c r="D22" s="30"/>
      <c r="E22" s="30"/>
      <c r="F22" s="30"/>
      <c r="G22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22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22" s="52" t="e">
        <f t="shared" si="1"/>
        <v>#VALUE!</v>
      </c>
    </row>
    <row r="23" spans="1:9" ht="18.75" customHeight="1" x14ac:dyDescent="0.25">
      <c r="A23" s="10" t="s">
        <v>60</v>
      </c>
      <c r="B23" s="20"/>
      <c r="C23" s="71" t="s">
        <v>35</v>
      </c>
      <c r="D23" s="72"/>
      <c r="E23" s="72"/>
      <c r="F23" s="72"/>
      <c r="G23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23" s="52" t="str">
        <f t="shared" si="0"/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23" s="52" t="e">
        <f t="shared" si="1"/>
        <v>#VALUE!</v>
      </c>
    </row>
    <row r="24" spans="1:9" ht="18.75" customHeight="1" x14ac:dyDescent="0.25">
      <c r="A24" s="10"/>
      <c r="B24" s="21" t="s">
        <v>36</v>
      </c>
      <c r="C24" s="23"/>
      <c r="D24" s="23"/>
      <c r="E24" s="23"/>
      <c r="F24" s="23"/>
      <c r="G24" s="66">
        <f>SUM(G18:G23)</f>
        <v>0</v>
      </c>
      <c r="H24" s="66">
        <f>SUM(H18:H23)</f>
        <v>0</v>
      </c>
      <c r="I24" s="66">
        <f t="shared" si="1"/>
        <v>0</v>
      </c>
    </row>
    <row r="25" spans="1:9" ht="9.75" customHeight="1" x14ac:dyDescent="0.25">
      <c r="A25" s="10"/>
      <c r="B25" s="18"/>
      <c r="C25" s="18"/>
      <c r="D25" s="18"/>
      <c r="E25" s="18"/>
      <c r="F25" s="18"/>
      <c r="G25" s="52"/>
      <c r="H25" s="52"/>
      <c r="I25" s="52"/>
    </row>
    <row r="26" spans="1:9" ht="18.75" customHeight="1" x14ac:dyDescent="0.25">
      <c r="A26" s="10"/>
      <c r="B26" s="22" t="s">
        <v>42</v>
      </c>
      <c r="C26" s="23"/>
      <c r="D26" s="23"/>
      <c r="E26" s="23"/>
      <c r="F26" s="23"/>
      <c r="G26" s="66" t="e">
        <f>G14-G24</f>
        <v>#VALUE!</v>
      </c>
      <c r="H26" s="66" t="e">
        <f>H14-H24</f>
        <v>#VALUE!</v>
      </c>
      <c r="I26" s="66" t="e">
        <f>G26-H26</f>
        <v>#VALUE!</v>
      </c>
    </row>
    <row r="27" spans="1:9" ht="18.75" customHeight="1" x14ac:dyDescent="0.25">
      <c r="A27" s="10"/>
      <c r="B27" s="24" t="s">
        <v>43</v>
      </c>
      <c r="C27" s="20"/>
      <c r="D27" s="20"/>
      <c r="E27" s="20"/>
      <c r="F27" s="20"/>
      <c r="G27" s="70" t="e">
        <f>G26/G10</f>
        <v>#VALUE!</v>
      </c>
      <c r="H27" s="70" t="e">
        <f>H26/H10</f>
        <v>#VALUE!</v>
      </c>
      <c r="I27" s="70" t="e">
        <f>I26/I10</f>
        <v>#VALUE!</v>
      </c>
    </row>
    <row r="28" spans="1:9" ht="9.75" customHeight="1" x14ac:dyDescent="0.25">
      <c r="A28" s="10"/>
      <c r="B28" s="18"/>
      <c r="C28" s="18"/>
      <c r="D28" s="18"/>
      <c r="E28" s="18"/>
      <c r="F28" s="18"/>
      <c r="G28" s="52"/>
      <c r="H28" s="52"/>
      <c r="I28" s="52"/>
    </row>
    <row r="29" spans="1:9" ht="18.75" customHeight="1" x14ac:dyDescent="0.25">
      <c r="A29" s="10"/>
      <c r="B29" s="21" t="s">
        <v>44</v>
      </c>
      <c r="C29" s="18"/>
      <c r="D29" s="18"/>
      <c r="E29" s="18"/>
      <c r="F29" s="18"/>
      <c r="G29" s="52"/>
      <c r="H29" s="52"/>
      <c r="I29" s="52"/>
    </row>
    <row r="30" spans="1:9" ht="18.75" customHeight="1" x14ac:dyDescent="0.25">
      <c r="A30" s="10" t="s">
        <v>47</v>
      </c>
      <c r="B30" s="18"/>
      <c r="C30" s="28" t="s">
        <v>45</v>
      </c>
      <c r="D30" s="28"/>
      <c r="E30" s="28"/>
      <c r="F30" s="28"/>
      <c r="G30" s="52" t="str">
        <f>IFERROR(get_income_statement_amount(G$1,G$2,G$3,$A30),0)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30" s="52" t="str">
        <f>IFERROR(get_income_statement_amount(H$1,H$2,H$3,$A30),0)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30" s="52" t="e">
        <f>G30-H30</f>
        <v>#VALUE!</v>
      </c>
    </row>
    <row r="31" spans="1:9" ht="18.75" customHeight="1" x14ac:dyDescent="0.25">
      <c r="A31" s="10" t="s">
        <v>48</v>
      </c>
      <c r="B31" s="25"/>
      <c r="C31" s="28" t="s">
        <v>46</v>
      </c>
      <c r="D31" s="28"/>
      <c r="E31" s="28"/>
      <c r="F31" s="28"/>
      <c r="G31" s="52" t="str">
        <f>IFERROR(get_income_statement_amount(G$1,G$2,G$3,$A31),0)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H31" s="52" t="str">
        <f>IFERROR(get_income_statement_amount(H$1,H$2,H$3,$A31),0)</f>
        <v>pypyodbc.DatabaseError: ('28000', "[28000] [Microsoft][ODBC SQL Server Driver][SQL Server]Login failed for user 'jason'.")
    raise DatabaseError(state,err_text)
  File "C:\Users\Jason\AppData\Local\Programs\Python\Python38\lib\site-packages\pypyodbc.py", line 987, in ctrl_err
    ctrl_err(SQL_HANDLE_DBC, ODBC_obj.dbc_h, ret, ODBC_obj.ansi)
  File "C:\Users\Jason\AppData\Local\Programs\Python\Python38\lib\site-packages\pypyodbc.py", line 1009, in check_success
    check_success(self, ret)
  File "C:\Users\Jason\AppData\Local\Programs\Python\Python38\lib\site-packages\pypyodbc.py", line 2507, in connect
    self.connect(connectString, autocommit, ansi, timeout, unicode_results, readonly)
  File "C:\Users\Jason\AppData\Local\Programs\Python\Python38\lib\site-packages\pypyodbc.py", line 2454, in __init__
    db = pyodbc.connect(self.connection_string)
  File "c:\users\jason\desktop\jason\development\xltest\myproject\sqlConfig.py", line 13, in sqlStatement
    df = dls.sqlStatement(sql_statement)
  File "c:\users\jason\desktop\jason\development\xltest\myproject\statements.py", line 25, in get_income_statement_amount
    ret = func(*args)
  File "C:\Users\Jason\AppData\Local\Programs\Python\Python38\lib\site-packages\xlwings\udfs.py", line 298, in call_udf
    res = call_udf(script, fname, args, this_workbook, FromVariant(caller))
  File "C:\Users\Jason\AppData\Local\Programs\Python\Python38\lib\site-packages\xlwings\server.py", line 195, in CallUDF
    return func(*args)
  File "C:\Users\Jason\AppData\Local\Programs\Python\Python38\lib\site-packages\win32com\server\policy.py", line 586, in _invokeex_
    return S_OK, -1, self._invokeex_(dispid, lcid, wFlags, args, None, None)
  File "C:\Users\Jason\AppData\Local\Programs\Python\Python38\lib\site-packages\win32com\server\policy.py", line 283, in _invoke_
    return self._invoke_(dispid, lcid, wFlags, args)
  File "C:\Users\Jason\AppData\Local\Programs\Python\Python38\lib\site-packages\win32com\server\policy.py", line 278, in _Invoke_</v>
      </c>
      <c r="I31" s="52" t="e">
        <f>G31-H31</f>
        <v>#VALUE!</v>
      </c>
    </row>
    <row r="32" spans="1:9" ht="9.75" customHeight="1" x14ac:dyDescent="0.25">
      <c r="A32" s="10"/>
      <c r="B32" s="25"/>
      <c r="C32" s="25"/>
      <c r="D32" s="25"/>
      <c r="E32" s="25"/>
      <c r="F32" s="25"/>
      <c r="G32" s="52"/>
      <c r="H32" s="52"/>
      <c r="I32" s="52"/>
    </row>
    <row r="33" spans="1:9" ht="18.75" customHeight="1" x14ac:dyDescent="0.25">
      <c r="A33" s="10"/>
      <c r="B33" s="26" t="s">
        <v>49</v>
      </c>
      <c r="C33" s="73"/>
      <c r="D33" s="73"/>
      <c r="E33" s="73"/>
      <c r="F33" s="73"/>
      <c r="G33" s="74" t="e">
        <f>G26-(G30+G31)</f>
        <v>#VALUE!</v>
      </c>
      <c r="H33" s="74" t="e">
        <f>H26-(H30+H31)</f>
        <v>#VALUE!</v>
      </c>
      <c r="I33" s="74" t="e">
        <f>G33-H33</f>
        <v>#VALUE!</v>
      </c>
    </row>
    <row r="34" spans="1:9" ht="9.75" customHeight="1" x14ac:dyDescent="0.25">
      <c r="A34" s="10"/>
      <c r="B34" s="25"/>
      <c r="C34" s="25"/>
      <c r="D34" s="25"/>
      <c r="E34" s="25"/>
      <c r="F34" s="25"/>
      <c r="G34" s="52"/>
      <c r="H34" s="52"/>
      <c r="I34" s="52"/>
    </row>
    <row r="35" spans="1:9" ht="18.75" customHeight="1" x14ac:dyDescent="0.25">
      <c r="A35" s="10"/>
      <c r="B35" s="21" t="s">
        <v>50</v>
      </c>
      <c r="C35" s="25"/>
      <c r="D35" s="25"/>
      <c r="E35" s="25"/>
      <c r="F35" s="25"/>
      <c r="G35" s="52"/>
      <c r="H35" s="52"/>
      <c r="I35" s="52"/>
    </row>
    <row r="36" spans="1:9" ht="18.75" customHeight="1" x14ac:dyDescent="0.25">
      <c r="A36" s="10" t="s">
        <v>57</v>
      </c>
      <c r="B36" s="25"/>
      <c r="C36" s="28" t="s">
        <v>51</v>
      </c>
      <c r="D36" s="31"/>
      <c r="E36" s="31"/>
      <c r="F36" s="31"/>
      <c r="G36" s="52">
        <f t="shared" ref="G36:H38" si="2">IFERROR(-get_income_statement_amount(G$1,G$2,G$3,$A36),0)</f>
        <v>0</v>
      </c>
      <c r="H36" s="52">
        <f t="shared" si="2"/>
        <v>0</v>
      </c>
      <c r="I36" s="52">
        <f>G36-H36</f>
        <v>0</v>
      </c>
    </row>
    <row r="37" spans="1:9" ht="18.75" customHeight="1" x14ac:dyDescent="0.25">
      <c r="A37" s="10" t="s">
        <v>58</v>
      </c>
      <c r="B37" s="25"/>
      <c r="C37" s="28" t="s">
        <v>52</v>
      </c>
      <c r="D37" s="31"/>
      <c r="E37" s="31"/>
      <c r="F37" s="31"/>
      <c r="G37" s="52">
        <f t="shared" si="2"/>
        <v>0</v>
      </c>
      <c r="H37" s="52">
        <f t="shared" si="2"/>
        <v>0</v>
      </c>
      <c r="I37" s="52">
        <f>G37-H37</f>
        <v>0</v>
      </c>
    </row>
    <row r="38" spans="1:9" ht="18.75" customHeight="1" x14ac:dyDescent="0.25">
      <c r="A38" s="10" t="s">
        <v>59</v>
      </c>
      <c r="B38" s="75"/>
      <c r="C38" s="29" t="s">
        <v>53</v>
      </c>
      <c r="D38" s="32"/>
      <c r="E38" s="32"/>
      <c r="F38" s="32"/>
      <c r="G38" s="53">
        <f t="shared" si="2"/>
        <v>0</v>
      </c>
      <c r="H38" s="53">
        <f t="shared" si="2"/>
        <v>0</v>
      </c>
      <c r="I38" s="53">
        <f>G38-H38</f>
        <v>0</v>
      </c>
    </row>
    <row r="39" spans="1:9" ht="18.75" customHeight="1" x14ac:dyDescent="0.25">
      <c r="A39" s="10"/>
      <c r="B39" s="21" t="s">
        <v>54</v>
      </c>
      <c r="C39" s="27"/>
      <c r="D39" s="27"/>
      <c r="E39" s="27"/>
      <c r="F39" s="27"/>
      <c r="G39" s="59">
        <f>SUM(G36:G38)</f>
        <v>0</v>
      </c>
      <c r="H39" s="59">
        <f>SUM(H36:H38)</f>
        <v>0</v>
      </c>
      <c r="I39" s="59">
        <f>G39-H39</f>
        <v>0</v>
      </c>
    </row>
    <row r="40" spans="1:9" ht="9.75" customHeight="1" x14ac:dyDescent="0.25">
      <c r="A40" s="10"/>
      <c r="B40" s="25"/>
      <c r="C40" s="25"/>
      <c r="D40" s="25"/>
      <c r="E40" s="25"/>
      <c r="F40" s="25"/>
      <c r="G40" s="52"/>
      <c r="H40" s="52"/>
      <c r="I40" s="52"/>
    </row>
    <row r="41" spans="1:9" ht="18.75" customHeight="1" x14ac:dyDescent="0.25">
      <c r="A41" s="9"/>
      <c r="B41" s="22" t="s">
        <v>55</v>
      </c>
      <c r="C41" s="76"/>
      <c r="D41" s="76"/>
      <c r="E41" s="76"/>
      <c r="F41" s="76"/>
      <c r="G41" s="66" t="e">
        <f>G33+G39</f>
        <v>#VALUE!</v>
      </c>
      <c r="H41" s="66" t="e">
        <f>H33+H39</f>
        <v>#VALUE!</v>
      </c>
      <c r="I41" s="66" t="e">
        <f>G41-H41</f>
        <v>#VALUE!</v>
      </c>
    </row>
    <row r="42" spans="1:9" ht="18.75" customHeight="1" thickBot="1" x14ac:dyDescent="0.3">
      <c r="A42" s="9"/>
      <c r="B42" s="33" t="s">
        <v>56</v>
      </c>
      <c r="C42" s="77"/>
      <c r="D42" s="77"/>
      <c r="E42" s="77"/>
      <c r="F42" s="77"/>
      <c r="G42" s="78" t="e">
        <f>G41/G10</f>
        <v>#VALUE!</v>
      </c>
      <c r="H42" s="78" t="e">
        <f>H41/H10</f>
        <v>#VALUE!</v>
      </c>
      <c r="I42" s="78" t="e">
        <f>I41/I10</f>
        <v>#VALUE!</v>
      </c>
    </row>
    <row r="43" spans="1:9" ht="16.5" thickTop="1" x14ac:dyDescent="0.25"/>
  </sheetData>
  <mergeCells count="3">
    <mergeCell ref="B4:I4"/>
    <mergeCell ref="B5:I5"/>
    <mergeCell ref="B6:I6"/>
  </mergeCells>
  <conditionalFormatting sqref="G10:I42">
    <cfRule type="cellIs" dxfId="3" priority="1" operator="lessThan">
      <formula>0</formula>
    </cfRule>
  </conditionalFormatting>
  <pageMargins left="0.25" right="0.25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!" promptTitle="CompanyDB" xr:uid="{6E691B32-8B99-4BBB-95C9-6033AED14012}">
          <x14:formula1>
            <xm:f>Databases!$A$2:$A$4</xm:f>
          </x14:formula1>
          <xm:sqref>G1:H1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A080D-E32A-4272-9853-1A4AE338FA58}">
  <sheetPr codeName="Sheet3"/>
  <dimension ref="A1:K41"/>
  <sheetViews>
    <sheetView showGridLines="0" tabSelected="1" topLeftCell="B3" zoomScaleNormal="100" workbookViewId="0">
      <selection activeCell="N9" sqref="N9"/>
    </sheetView>
  </sheetViews>
  <sheetFormatPr defaultRowHeight="15.75" outlineLevelRow="1" outlineLevelCol="1" x14ac:dyDescent="0.25"/>
  <cols>
    <col min="1" max="1" width="158.875" style="3" hidden="1" customWidth="1" outlineLevel="1"/>
    <col min="2" max="2" width="2.75" customWidth="1" collapsed="1"/>
    <col min="3" max="3" width="3.375" customWidth="1"/>
    <col min="7" max="7" width="10.875" customWidth="1"/>
    <col min="8" max="8" width="11.75" bestFit="1" customWidth="1"/>
    <col min="9" max="9" width="10.125" bestFit="1" customWidth="1"/>
    <col min="10" max="11" width="12.875" bestFit="1" customWidth="1"/>
  </cols>
  <sheetData>
    <row r="1" spans="1:11" hidden="1" outlineLevel="1" x14ac:dyDescent="0.25">
      <c r="K1" s="6" t="str">
        <f>Parameters!C10</f>
        <v>DLS_Structures</v>
      </c>
    </row>
    <row r="2" spans="1:11" hidden="1" outlineLevel="1" x14ac:dyDescent="0.25">
      <c r="K2" s="7">
        <f>Parameters!C12</f>
        <v>43769</v>
      </c>
    </row>
    <row r="3" spans="1:11" ht="25.5" collapsed="1" x14ac:dyDescent="0.35">
      <c r="B3" s="87" t="str">
        <f>IF(K1="DLSLtd", "Dairy Lane Systems Ltd.", IF(K1="DLSEnviro", "DLS Biogas", IF(K1 = "DLS_Structures", "DLS Structures", "Other")))</f>
        <v>DLS Structures</v>
      </c>
      <c r="C3" s="87"/>
      <c r="D3" s="87"/>
      <c r="E3" s="87"/>
      <c r="F3" s="87"/>
      <c r="G3" s="87"/>
      <c r="H3" s="87"/>
      <c r="I3" s="87"/>
      <c r="J3" s="87"/>
      <c r="K3" s="87"/>
    </row>
    <row r="4" spans="1:11" ht="20.25" x14ac:dyDescent="0.3">
      <c r="B4" s="88" t="s">
        <v>65</v>
      </c>
      <c r="C4" s="88"/>
      <c r="D4" s="88"/>
      <c r="E4" s="88"/>
      <c r="F4" s="88"/>
      <c r="G4" s="88"/>
      <c r="H4" s="88"/>
      <c r="I4" s="88"/>
      <c r="J4" s="88"/>
      <c r="K4" s="88"/>
    </row>
    <row r="5" spans="1:11" ht="20.25" x14ac:dyDescent="0.3">
      <c r="B5" s="88" t="str">
        <f>_xlfn.CONCAT("As of ", TEXT(K2, "mmmm dd, yyyy"))</f>
        <v>As of October 31, 2019</v>
      </c>
      <c r="C5" s="88"/>
      <c r="D5" s="88"/>
      <c r="E5" s="88"/>
      <c r="F5" s="88"/>
      <c r="G5" s="88"/>
      <c r="H5" s="88"/>
      <c r="I5" s="88"/>
      <c r="J5" s="88"/>
      <c r="K5" s="88"/>
    </row>
    <row r="6" spans="1:11" x14ac:dyDescent="0.25">
      <c r="A6" s="9" t="s">
        <v>18</v>
      </c>
      <c r="B6" s="13"/>
      <c r="C6" s="13"/>
      <c r="D6" s="13"/>
      <c r="E6" s="13"/>
      <c r="F6" s="13"/>
      <c r="G6" s="13"/>
      <c r="H6" s="13"/>
      <c r="I6" s="13"/>
      <c r="J6" s="13"/>
      <c r="K6" s="13"/>
    </row>
    <row r="7" spans="1:11" ht="19.5" customHeight="1" x14ac:dyDescent="0.25">
      <c r="B7" s="81" t="s">
        <v>66</v>
      </c>
      <c r="C7" s="82"/>
      <c r="D7" s="82"/>
      <c r="E7" s="82"/>
      <c r="F7" s="82"/>
      <c r="G7" s="80"/>
      <c r="H7" s="80"/>
      <c r="I7" s="80"/>
      <c r="J7" s="79"/>
      <c r="K7" s="82"/>
    </row>
    <row r="8" spans="1:11" ht="19.5" customHeight="1" x14ac:dyDescent="0.25">
      <c r="A8" s="12"/>
      <c r="B8" s="11" t="s">
        <v>67</v>
      </c>
    </row>
    <row r="9" spans="1:11" ht="19.5" customHeight="1" x14ac:dyDescent="0.25">
      <c r="A9" s="8" t="s">
        <v>72</v>
      </c>
      <c r="C9" s="5" t="s">
        <v>68</v>
      </c>
      <c r="K9" s="52">
        <f>IFERROR(get_balance_sheet_amount(K$1,K$2,$A9),0)</f>
        <v>-2875965.61</v>
      </c>
    </row>
    <row r="10" spans="1:11" ht="19.5" customHeight="1" x14ac:dyDescent="0.25">
      <c r="A10" s="8" t="s">
        <v>73</v>
      </c>
      <c r="C10" s="5" t="s">
        <v>69</v>
      </c>
      <c r="K10" s="52">
        <f>IFERROR(get_balance_sheet_amount(K$1,K$2,$A10),0)</f>
        <v>272173.77</v>
      </c>
    </row>
    <row r="11" spans="1:11" ht="19.5" customHeight="1" x14ac:dyDescent="0.25">
      <c r="A11" s="8" t="s">
        <v>74</v>
      </c>
      <c r="C11" s="5" t="s">
        <v>70</v>
      </c>
      <c r="K11" s="52">
        <f>IFERROR(get_balance_sheet_amount(K$1,K$2,$A11),0)</f>
        <v>3490432.5852040001</v>
      </c>
    </row>
    <row r="12" spans="1:11" ht="19.5" customHeight="1" x14ac:dyDescent="0.25">
      <c r="A12" s="8" t="s">
        <v>75</v>
      </c>
      <c r="C12" s="5" t="s">
        <v>71</v>
      </c>
      <c r="K12" s="52">
        <f>IFERROR(get_balance_sheet_amount(K$1,K$2,$A12),0)</f>
        <v>4387.03</v>
      </c>
    </row>
    <row r="13" spans="1:11" ht="19.5" customHeight="1" x14ac:dyDescent="0.25">
      <c r="A13" s="12"/>
      <c r="B13" s="67" t="s">
        <v>76</v>
      </c>
      <c r="C13" s="67"/>
      <c r="D13" s="67"/>
      <c r="E13" s="68"/>
      <c r="F13" s="67"/>
      <c r="G13" s="67"/>
      <c r="H13" s="67"/>
      <c r="I13" s="67"/>
      <c r="J13" s="68"/>
      <c r="K13" s="66">
        <f>SUM(K9:K12)</f>
        <v>891027.7752040003</v>
      </c>
    </row>
    <row r="14" spans="1:11" ht="9" customHeight="1" x14ac:dyDescent="0.25">
      <c r="A14" s="12"/>
      <c r="K14" s="52"/>
    </row>
    <row r="15" spans="1:11" ht="19.5" customHeight="1" x14ac:dyDescent="0.25">
      <c r="A15" s="12"/>
      <c r="B15" s="11" t="s">
        <v>77</v>
      </c>
      <c r="K15" s="52"/>
    </row>
    <row r="16" spans="1:11" ht="19.5" customHeight="1" x14ac:dyDescent="0.25">
      <c r="A16" s="8" t="s">
        <v>80</v>
      </c>
      <c r="C16" s="5" t="s">
        <v>78</v>
      </c>
      <c r="K16" s="52">
        <f>IFERROR(get_balance_sheet_amount(K$1,K$2,$A16),0)</f>
        <v>38181.93</v>
      </c>
    </row>
    <row r="17" spans="1:11" ht="9" customHeight="1" x14ac:dyDescent="0.25">
      <c r="A17" s="12"/>
      <c r="K17" s="52"/>
    </row>
    <row r="18" spans="1:11" ht="19.5" customHeight="1" thickBot="1" x14ac:dyDescent="0.3">
      <c r="A18" s="12"/>
      <c r="B18" s="61" t="s">
        <v>79</v>
      </c>
      <c r="C18" s="62"/>
      <c r="D18" s="62"/>
      <c r="E18" s="62"/>
      <c r="F18" s="62"/>
      <c r="G18" s="62"/>
      <c r="H18" s="62"/>
      <c r="I18" s="62"/>
      <c r="J18" s="62"/>
      <c r="K18" s="69">
        <f>K13+K16</f>
        <v>929209.70520400035</v>
      </c>
    </row>
    <row r="19" spans="1:11" ht="9" customHeight="1" thickTop="1" x14ac:dyDescent="0.25">
      <c r="A19" s="12"/>
      <c r="K19" s="52"/>
    </row>
    <row r="20" spans="1:11" ht="19.5" customHeight="1" x14ac:dyDescent="0.25">
      <c r="A20" s="12"/>
      <c r="B20" s="81" t="s">
        <v>81</v>
      </c>
      <c r="C20" s="82"/>
      <c r="D20" s="82"/>
      <c r="E20" s="82"/>
      <c r="F20" s="82"/>
      <c r="G20" s="80"/>
      <c r="H20" s="80"/>
      <c r="I20" s="80"/>
      <c r="J20" s="79"/>
      <c r="K20" s="82"/>
    </row>
    <row r="21" spans="1:11" ht="19.5" customHeight="1" x14ac:dyDescent="0.25">
      <c r="A21" s="9"/>
      <c r="B21" s="11" t="s">
        <v>82</v>
      </c>
      <c r="K21" s="52"/>
    </row>
    <row r="22" spans="1:11" ht="19.5" customHeight="1" x14ac:dyDescent="0.25">
      <c r="A22" s="8" t="s">
        <v>97</v>
      </c>
      <c r="C22" s="5" t="s">
        <v>83</v>
      </c>
      <c r="K22" s="52">
        <f>IFERROR(-get_balance_sheet_amount(K$1,K$2,$A22),0)</f>
        <v>306939.74</v>
      </c>
    </row>
    <row r="23" spans="1:11" ht="19.5" customHeight="1" x14ac:dyDescent="0.25">
      <c r="A23" s="8" t="s">
        <v>98</v>
      </c>
      <c r="C23" s="5" t="s">
        <v>84</v>
      </c>
      <c r="K23" s="52">
        <f>IFERROR(-get_balance_sheet_amount(K$1,K$2,$A23),0)</f>
        <v>0</v>
      </c>
    </row>
    <row r="24" spans="1:11" ht="19.5" customHeight="1" x14ac:dyDescent="0.25">
      <c r="A24" s="8" t="s">
        <v>99</v>
      </c>
      <c r="C24" s="5" t="s">
        <v>85</v>
      </c>
      <c r="K24" s="52">
        <f>IFERROR(-get_balance_sheet_amount(K$1,K$2,$A24),0)</f>
        <v>58025.4</v>
      </c>
    </row>
    <row r="25" spans="1:11" ht="19.5" customHeight="1" x14ac:dyDescent="0.25">
      <c r="A25" s="8" t="s">
        <v>100</v>
      </c>
      <c r="C25" s="5" t="s">
        <v>86</v>
      </c>
      <c r="K25" s="52">
        <f>IFERROR(-get_balance_sheet_amount(K$1,K$2,$A25),0)</f>
        <v>-466769.02</v>
      </c>
    </row>
    <row r="26" spans="1:11" ht="19.5" customHeight="1" x14ac:dyDescent="0.25">
      <c r="A26" s="12"/>
      <c r="B26" s="67" t="s">
        <v>87</v>
      </c>
      <c r="C26" s="68"/>
      <c r="D26" s="68"/>
      <c r="E26" s="68"/>
      <c r="F26" s="68"/>
      <c r="G26" s="68"/>
      <c r="H26" s="68"/>
      <c r="I26" s="68"/>
      <c r="J26" s="68"/>
      <c r="K26" s="66">
        <f>SUM(K22:K25)</f>
        <v>-101803.88</v>
      </c>
    </row>
    <row r="27" spans="1:11" ht="9" customHeight="1" x14ac:dyDescent="0.25">
      <c r="A27" s="12"/>
      <c r="K27" s="52"/>
    </row>
    <row r="28" spans="1:11" ht="19.5" customHeight="1" x14ac:dyDescent="0.25">
      <c r="A28" s="12"/>
      <c r="B28" s="11" t="s">
        <v>88</v>
      </c>
      <c r="K28" s="52"/>
    </row>
    <row r="29" spans="1:11" ht="19.5" customHeight="1" x14ac:dyDescent="0.25">
      <c r="A29" s="8" t="s">
        <v>101</v>
      </c>
      <c r="C29" s="5" t="s">
        <v>89</v>
      </c>
      <c r="K29" s="52">
        <f>IFERROR(-get_balance_sheet_amount(K$1,K$2,$A29),0)</f>
        <v>36694.379999999997</v>
      </c>
    </row>
    <row r="30" spans="1:11" ht="9" customHeight="1" x14ac:dyDescent="0.25">
      <c r="A30" s="12"/>
      <c r="K30" s="52"/>
    </row>
    <row r="31" spans="1:11" ht="19.5" customHeight="1" x14ac:dyDescent="0.25">
      <c r="A31" s="12"/>
      <c r="B31" s="64" t="s">
        <v>90</v>
      </c>
      <c r="C31" s="65"/>
      <c r="D31" s="65"/>
      <c r="E31" s="65"/>
      <c r="F31" s="65"/>
      <c r="G31" s="65"/>
      <c r="H31" s="65"/>
      <c r="I31" s="65"/>
      <c r="J31" s="65"/>
      <c r="K31" s="66">
        <f>K26+K29</f>
        <v>-65109.500000000007</v>
      </c>
    </row>
    <row r="32" spans="1:11" ht="9" customHeight="1" x14ac:dyDescent="0.25">
      <c r="A32" s="12"/>
      <c r="K32" s="52"/>
    </row>
    <row r="33" spans="1:11" ht="19.5" customHeight="1" x14ac:dyDescent="0.25">
      <c r="A33" s="12"/>
      <c r="B33" s="81" t="s">
        <v>91</v>
      </c>
      <c r="C33" s="82"/>
      <c r="D33" s="82"/>
      <c r="E33" s="82"/>
      <c r="F33" s="82"/>
      <c r="G33" s="80"/>
      <c r="H33" s="80"/>
      <c r="I33" s="80"/>
      <c r="J33" s="79"/>
      <c r="K33" s="82"/>
    </row>
    <row r="34" spans="1:11" ht="19.5" customHeight="1" x14ac:dyDescent="0.25">
      <c r="A34" s="9" t="s">
        <v>102</v>
      </c>
      <c r="C34" s="5" t="s">
        <v>92</v>
      </c>
      <c r="E34" s="5"/>
      <c r="K34" s="52">
        <f>IFERROR(-get_balance_sheet_amount(K$1,K$2,$A34),0)</f>
        <v>0</v>
      </c>
    </row>
    <row r="35" spans="1:11" ht="19.5" customHeight="1" x14ac:dyDescent="0.25">
      <c r="A35" s="9" t="s">
        <v>103</v>
      </c>
      <c r="C35" s="5" t="s">
        <v>93</v>
      </c>
      <c r="E35" s="5"/>
      <c r="K35" s="52">
        <f>IFERROR(-get_balance_sheet_amount(K$1,K$2,$A35),0)</f>
        <v>15</v>
      </c>
    </row>
    <row r="36" spans="1:11" ht="19.5" customHeight="1" x14ac:dyDescent="0.25">
      <c r="A36" s="9" t="s">
        <v>104</v>
      </c>
      <c r="C36" s="5" t="s">
        <v>94</v>
      </c>
      <c r="E36" s="5"/>
      <c r="K36" s="52">
        <f>IFERROR(-get_balance_sheet_amount(K$1,K$2,$A36),0)</f>
        <v>-125000</v>
      </c>
    </row>
    <row r="37" spans="1:11" ht="19.5" customHeight="1" x14ac:dyDescent="0.25">
      <c r="A37" s="9"/>
      <c r="C37" s="38" t="s">
        <v>105</v>
      </c>
      <c r="D37" s="34"/>
      <c r="E37" s="38"/>
      <c r="K37" s="52">
        <f>-get_retained_earnings(K1,K2)</f>
        <v>1119304.205204</v>
      </c>
    </row>
    <row r="38" spans="1:11" ht="19.5" customHeight="1" x14ac:dyDescent="0.25">
      <c r="B38" s="64" t="s">
        <v>95</v>
      </c>
      <c r="C38" s="65"/>
      <c r="D38" s="65"/>
      <c r="E38" s="65"/>
      <c r="F38" s="65"/>
      <c r="G38" s="65"/>
      <c r="H38" s="65"/>
      <c r="I38" s="65"/>
      <c r="J38" s="65"/>
      <c r="K38" s="66">
        <f>SUM(K34:K37)</f>
        <v>994319.205204</v>
      </c>
    </row>
    <row r="39" spans="1:11" ht="9" customHeight="1" x14ac:dyDescent="0.25">
      <c r="K39" s="52"/>
    </row>
    <row r="40" spans="1:11" ht="19.5" customHeight="1" thickBot="1" x14ac:dyDescent="0.3">
      <c r="A40" s="60"/>
      <c r="B40" s="61" t="s">
        <v>96</v>
      </c>
      <c r="C40" s="62"/>
      <c r="D40" s="62"/>
      <c r="E40" s="62"/>
      <c r="F40" s="62"/>
      <c r="G40" s="62"/>
      <c r="H40" s="62"/>
      <c r="I40" s="62"/>
      <c r="J40" s="62"/>
      <c r="K40" s="63">
        <f>K31+K38</f>
        <v>929209.705204</v>
      </c>
    </row>
    <row r="41" spans="1:11" ht="16.5" thickTop="1" x14ac:dyDescent="0.25"/>
  </sheetData>
  <mergeCells count="3">
    <mergeCell ref="B3:K3"/>
    <mergeCell ref="B4:K4"/>
    <mergeCell ref="B5:K5"/>
  </mergeCells>
  <conditionalFormatting sqref="K9:K12">
    <cfRule type="cellIs" dxfId="2" priority="2" operator="lessThan">
      <formula>0</formula>
    </cfRule>
  </conditionalFormatting>
  <conditionalFormatting sqref="K13:K19 K21:K32 K34:K40">
    <cfRule type="cellIs" dxfId="1" priority="1" operator="lessThan">
      <formula>0</formula>
    </cfRule>
  </conditionalFormatting>
  <pageMargins left="0.25" right="0.25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!" promptTitle="CompanyDB" xr:uid="{E99DA248-A154-4DF7-A80A-5AB2BA901F27}">
          <x14:formula1>
            <xm:f>Databases!$A$2:$A$4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2AE8-9EAA-4D8C-B80C-2992493B0EFB}">
  <sheetPr codeName="Sheet5">
    <pageSetUpPr fitToPage="1"/>
  </sheetPr>
  <dimension ref="A1:O42"/>
  <sheetViews>
    <sheetView showGridLines="0" view="pageBreakPreview" topLeftCell="B5" zoomScale="60" zoomScaleNormal="100" workbookViewId="0">
      <selection activeCell="R34" sqref="R34"/>
    </sheetView>
  </sheetViews>
  <sheetFormatPr defaultRowHeight="15.75" outlineLevelRow="1" outlineLevelCol="1" x14ac:dyDescent="0.25"/>
  <cols>
    <col min="1" max="1" width="51.125" hidden="1" customWidth="1" outlineLevel="1"/>
    <col min="2" max="2" width="2.375" customWidth="1" collapsed="1"/>
    <col min="3" max="3" width="28.5" customWidth="1"/>
    <col min="4" max="4" width="13" bestFit="1" customWidth="1"/>
    <col min="5" max="5" width="12" bestFit="1" customWidth="1"/>
    <col min="6" max="6" width="12.125" bestFit="1" customWidth="1"/>
    <col min="7" max="7" width="11.75" bestFit="1" customWidth="1"/>
    <col min="8" max="8" width="12.75" bestFit="1" customWidth="1"/>
    <col min="9" max="9" width="12" bestFit="1" customWidth="1"/>
    <col min="10" max="10" width="12.875" bestFit="1" customWidth="1"/>
    <col min="11" max="11" width="12.5" bestFit="1" customWidth="1"/>
    <col min="12" max="12" width="12.875" bestFit="1" customWidth="1"/>
    <col min="13" max="13" width="12.125" bestFit="1" customWidth="1"/>
    <col min="14" max="15" width="12.375" bestFit="1" customWidth="1"/>
  </cols>
  <sheetData>
    <row r="1" spans="1:15" hidden="1" outlineLevel="1" x14ac:dyDescent="0.25">
      <c r="A1" t="s">
        <v>14</v>
      </c>
      <c r="D1" s="6" t="str">
        <f t="shared" ref="D1:M1" si="0">$O$1</f>
        <v>DLS_Structures</v>
      </c>
      <c r="E1" s="6" t="str">
        <f t="shared" si="0"/>
        <v>DLS_Structures</v>
      </c>
      <c r="F1" s="6" t="str">
        <f t="shared" si="0"/>
        <v>DLS_Structures</v>
      </c>
      <c r="G1" s="6" t="str">
        <f t="shared" si="0"/>
        <v>DLS_Structures</v>
      </c>
      <c r="H1" s="6" t="str">
        <f t="shared" si="0"/>
        <v>DLS_Structures</v>
      </c>
      <c r="I1" s="6" t="str">
        <f t="shared" si="0"/>
        <v>DLS_Structures</v>
      </c>
      <c r="J1" s="6" t="str">
        <f t="shared" si="0"/>
        <v>DLS_Structures</v>
      </c>
      <c r="K1" s="6" t="str">
        <f t="shared" si="0"/>
        <v>DLS_Structures</v>
      </c>
      <c r="L1" s="6" t="str">
        <f t="shared" si="0"/>
        <v>DLS_Structures</v>
      </c>
      <c r="M1" s="6" t="str">
        <f t="shared" si="0"/>
        <v>DLS_Structures</v>
      </c>
      <c r="N1" s="6" t="str">
        <f>$O$1</f>
        <v>DLS_Structures</v>
      </c>
      <c r="O1" s="6" t="str">
        <f>Parameters!C10</f>
        <v>DLS_Structures</v>
      </c>
    </row>
    <row r="2" spans="1:15" hidden="1" outlineLevel="1" x14ac:dyDescent="0.25">
      <c r="A2" t="s">
        <v>15</v>
      </c>
      <c r="D2" s="35">
        <f t="shared" ref="D2:M2" si="1">EDATE(E2,-1)</f>
        <v>43405</v>
      </c>
      <c r="E2" s="35">
        <f t="shared" si="1"/>
        <v>43435</v>
      </c>
      <c r="F2" s="35">
        <f t="shared" si="1"/>
        <v>43466</v>
      </c>
      <c r="G2" s="35">
        <f t="shared" si="1"/>
        <v>43497</v>
      </c>
      <c r="H2" s="35">
        <f t="shared" si="1"/>
        <v>43525</v>
      </c>
      <c r="I2" s="35">
        <f t="shared" si="1"/>
        <v>43556</v>
      </c>
      <c r="J2" s="35">
        <f t="shared" si="1"/>
        <v>43586</v>
      </c>
      <c r="K2" s="35">
        <f t="shared" si="1"/>
        <v>43617</v>
      </c>
      <c r="L2" s="35">
        <f t="shared" si="1"/>
        <v>43647</v>
      </c>
      <c r="M2" s="35">
        <f t="shared" si="1"/>
        <v>43678</v>
      </c>
      <c r="N2" s="35">
        <f>EDATE(O2,-1)</f>
        <v>43709</v>
      </c>
      <c r="O2" s="35">
        <f>DATE(YEAR(O3), MONTH(O3),1)</f>
        <v>43739</v>
      </c>
    </row>
    <row r="3" spans="1:15" hidden="1" outlineLevel="1" x14ac:dyDescent="0.25">
      <c r="A3" t="s">
        <v>16</v>
      </c>
      <c r="D3" s="35">
        <f t="shared" ref="D3:M3" si="2">EOMONTH(E3,-1)</f>
        <v>43434</v>
      </c>
      <c r="E3" s="35">
        <f t="shared" si="2"/>
        <v>43465</v>
      </c>
      <c r="F3" s="35">
        <f t="shared" si="2"/>
        <v>43496</v>
      </c>
      <c r="G3" s="35">
        <f t="shared" si="2"/>
        <v>43524</v>
      </c>
      <c r="H3" s="35">
        <f t="shared" si="2"/>
        <v>43555</v>
      </c>
      <c r="I3" s="35">
        <f t="shared" si="2"/>
        <v>43585</v>
      </c>
      <c r="J3" s="35">
        <f t="shared" si="2"/>
        <v>43616</v>
      </c>
      <c r="K3" s="35">
        <f t="shared" si="2"/>
        <v>43646</v>
      </c>
      <c r="L3" s="35">
        <f t="shared" si="2"/>
        <v>43677</v>
      </c>
      <c r="M3" s="35">
        <f t="shared" si="2"/>
        <v>43708</v>
      </c>
      <c r="N3" s="35">
        <f>EOMONTH(O3,-1)</f>
        <v>43738</v>
      </c>
      <c r="O3" s="35">
        <f>Parameters!C12</f>
        <v>43769</v>
      </c>
    </row>
    <row r="4" spans="1:15" hidden="1" outlineLevel="1" x14ac:dyDescent="0.25">
      <c r="D4" s="35">
        <f>EOMONTH(D$3,-1)</f>
        <v>43404</v>
      </c>
      <c r="E4" s="35">
        <f t="shared" ref="E4:O4" si="3">EOMONTH(E$3,-1)</f>
        <v>43434</v>
      </c>
      <c r="F4" s="35">
        <f t="shared" si="3"/>
        <v>43465</v>
      </c>
      <c r="G4" s="35">
        <f t="shared" si="3"/>
        <v>43496</v>
      </c>
      <c r="H4" s="35">
        <f t="shared" si="3"/>
        <v>43524</v>
      </c>
      <c r="I4" s="35">
        <f t="shared" si="3"/>
        <v>43555</v>
      </c>
      <c r="J4" s="35">
        <f t="shared" si="3"/>
        <v>43585</v>
      </c>
      <c r="K4" s="35">
        <f t="shared" si="3"/>
        <v>43616</v>
      </c>
      <c r="L4" s="35">
        <f t="shared" si="3"/>
        <v>43646</v>
      </c>
      <c r="M4" s="35">
        <f t="shared" si="3"/>
        <v>43677</v>
      </c>
      <c r="N4" s="35">
        <f t="shared" si="3"/>
        <v>43708</v>
      </c>
      <c r="O4" s="35">
        <f t="shared" si="3"/>
        <v>43738</v>
      </c>
    </row>
    <row r="5" spans="1:15" ht="35.25" collapsed="1" x14ac:dyDescent="0.25">
      <c r="B5" s="90" t="str">
        <f>IF(O1="DLSLtd", "Dairy Lane Systems Ltd.", IF(O1="DLSEnviro", "DLS Biogas", IF(O1 = "DLS_Structures", "DLS Structures", "Other")))</f>
        <v>DLS Structures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5" ht="25.5" x14ac:dyDescent="0.25">
      <c r="B6" s="89" t="s">
        <v>106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1:15" ht="25.5" x14ac:dyDescent="0.25">
      <c r="B7" s="89" t="str">
        <f>_xlfn.CONCAT("Rolling 12 Months Ending ", TEXT(O3, "mmmm dd, yyyy"))</f>
        <v>Rolling 12 Months Ending October 31, 2019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1:15" ht="25.5" x14ac:dyDescent="0.35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</row>
    <row r="9" spans="1:15" ht="25.5" x14ac:dyDescent="0.3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</row>
    <row r="10" spans="1:15" ht="13.5" customHeight="1" x14ac:dyDescent="0.25">
      <c r="A10" t="s">
        <v>18</v>
      </c>
    </row>
    <row r="11" spans="1:15" ht="19.5" customHeight="1" x14ac:dyDescent="0.25">
      <c r="B11" s="79"/>
      <c r="C11" s="79"/>
      <c r="D11" s="80" t="str">
        <f t="shared" ref="D11:N11" si="4">TEXT(D2, "MMM-YY")</f>
        <v>Nov-18</v>
      </c>
      <c r="E11" s="80" t="str">
        <f t="shared" si="4"/>
        <v>Dec-18</v>
      </c>
      <c r="F11" s="80" t="str">
        <f t="shared" si="4"/>
        <v>Jan-19</v>
      </c>
      <c r="G11" s="80" t="str">
        <f t="shared" si="4"/>
        <v>Feb-19</v>
      </c>
      <c r="H11" s="80" t="str">
        <f t="shared" si="4"/>
        <v>Mar-19</v>
      </c>
      <c r="I11" s="80" t="str">
        <f t="shared" si="4"/>
        <v>Apr-19</v>
      </c>
      <c r="J11" s="80" t="str">
        <f t="shared" si="4"/>
        <v>May-19</v>
      </c>
      <c r="K11" s="80" t="str">
        <f t="shared" si="4"/>
        <v>Jun-19</v>
      </c>
      <c r="L11" s="80" t="str">
        <f t="shared" si="4"/>
        <v>Jul-19</v>
      </c>
      <c r="M11" s="80" t="str">
        <f t="shared" si="4"/>
        <v>Aug-19</v>
      </c>
      <c r="N11" s="80" t="str">
        <f t="shared" si="4"/>
        <v>Sep-19</v>
      </c>
      <c r="O11" s="80" t="str">
        <f>TEXT(O2, "MMM-YY")</f>
        <v>Oct-19</v>
      </c>
    </row>
    <row r="12" spans="1:15" ht="22.5" customHeight="1" x14ac:dyDescent="0.25">
      <c r="B12" s="11" t="s">
        <v>107</v>
      </c>
    </row>
    <row r="13" spans="1:15" ht="22.5" customHeight="1" x14ac:dyDescent="0.25">
      <c r="A13" s="10" t="s">
        <v>127</v>
      </c>
      <c r="C13" s="45" t="s">
        <v>108</v>
      </c>
      <c r="D13" s="52">
        <f>IFERROR(-get_cash_flow_amount(D$1,D$2,D$3,$A13),0)</f>
        <v>2395609.9100009999</v>
      </c>
      <c r="E13" s="52">
        <f t="shared" ref="E13:N14" si="5">IFERROR(-get_cash_flow_amount(E$1,E$2,E$3,$A13),0)</f>
        <v>-62407.099995999997</v>
      </c>
      <c r="F13" s="52">
        <f t="shared" si="5"/>
        <v>-67233.750004000001</v>
      </c>
      <c r="G13" s="52">
        <f t="shared" si="5"/>
        <v>-77971.61</v>
      </c>
      <c r="H13" s="52">
        <f t="shared" si="5"/>
        <v>-429462.098</v>
      </c>
      <c r="I13" s="52">
        <f t="shared" si="5"/>
        <v>-1227753.4369999999</v>
      </c>
      <c r="J13" s="52">
        <f t="shared" si="5"/>
        <v>-48652.35</v>
      </c>
      <c r="K13" s="52">
        <f t="shared" si="5"/>
        <v>-225619.843991</v>
      </c>
      <c r="L13" s="52">
        <f t="shared" si="5"/>
        <v>-78693.930091999995</v>
      </c>
      <c r="M13" s="52">
        <f t="shared" si="5"/>
        <v>-89110.800004000004</v>
      </c>
      <c r="N13" s="52">
        <f t="shared" si="5"/>
        <v>-140774.47</v>
      </c>
      <c r="O13" s="52">
        <f>IFERROR(-get_cash_flow_amount(O$1,O$2,O$3,$A13),0)</f>
        <v>351879.21999000001</v>
      </c>
    </row>
    <row r="14" spans="1:15" ht="22.5" customHeight="1" x14ac:dyDescent="0.25">
      <c r="A14" s="9" t="s">
        <v>123</v>
      </c>
      <c r="C14" s="45" t="s">
        <v>109</v>
      </c>
      <c r="D14" s="52">
        <f>IFERROR(-get_cash_flow_amount(D$1,D$2,D$3,$A14),0)</f>
        <v>0</v>
      </c>
      <c r="E14" s="52">
        <f t="shared" si="5"/>
        <v>0</v>
      </c>
      <c r="F14" s="52">
        <f t="shared" si="5"/>
        <v>0</v>
      </c>
      <c r="G14" s="52">
        <f t="shared" si="5"/>
        <v>0</v>
      </c>
      <c r="H14" s="52">
        <f t="shared" si="5"/>
        <v>0</v>
      </c>
      <c r="I14" s="52">
        <f t="shared" si="5"/>
        <v>0</v>
      </c>
      <c r="J14" s="52">
        <f t="shared" si="5"/>
        <v>0</v>
      </c>
      <c r="K14" s="52">
        <f t="shared" si="5"/>
        <v>0</v>
      </c>
      <c r="L14" s="52">
        <f t="shared" si="5"/>
        <v>0</v>
      </c>
      <c r="M14" s="52">
        <f t="shared" si="5"/>
        <v>0</v>
      </c>
      <c r="N14" s="52">
        <f t="shared" si="5"/>
        <v>0</v>
      </c>
      <c r="O14" s="52">
        <f>IFERROR(-get_cash_flow_amount(O$1,O$2,O$3,$A14),0)</f>
        <v>0</v>
      </c>
    </row>
    <row r="15" spans="1:15" ht="22.5" customHeight="1" x14ac:dyDescent="0.25">
      <c r="A15" s="9" t="s">
        <v>99</v>
      </c>
      <c r="C15" s="45" t="s">
        <v>85</v>
      </c>
      <c r="D15" s="52">
        <f>IFERROR(-get_cash_flow_amount(D$1,D$2,D$3,$A15),0)</f>
        <v>817.08</v>
      </c>
      <c r="E15" s="52">
        <f t="shared" ref="E15:O22" si="6">IFERROR(-get_cash_flow_amount(E$1,E$2,E$3,$A15),0)</f>
        <v>1110.18</v>
      </c>
      <c r="F15" s="52">
        <f t="shared" si="6"/>
        <v>-16861.919999999998</v>
      </c>
      <c r="G15" s="52">
        <f t="shared" si="6"/>
        <v>4883.8999999999996</v>
      </c>
      <c r="H15" s="52">
        <f t="shared" si="6"/>
        <v>4232.45</v>
      </c>
      <c r="I15" s="52">
        <f t="shared" si="6"/>
        <v>6056.99</v>
      </c>
      <c r="J15" s="52">
        <f t="shared" si="6"/>
        <v>9178.6</v>
      </c>
      <c r="K15" s="52">
        <f t="shared" si="6"/>
        <v>4160.09</v>
      </c>
      <c r="L15" s="52">
        <f t="shared" si="6"/>
        <v>-14122.41</v>
      </c>
      <c r="M15" s="52">
        <f t="shared" si="6"/>
        <v>31782.78</v>
      </c>
      <c r="N15" s="52">
        <f t="shared" si="6"/>
        <v>2822.8</v>
      </c>
      <c r="O15" s="52">
        <f t="shared" si="6"/>
        <v>-4162.63</v>
      </c>
    </row>
    <row r="16" spans="1:15" ht="22.5" customHeight="1" x14ac:dyDescent="0.25">
      <c r="A16" s="9" t="s">
        <v>100</v>
      </c>
      <c r="C16" s="45" t="s">
        <v>86</v>
      </c>
      <c r="D16" s="52">
        <f t="shared" ref="D16:D22" si="7">IFERROR(-get_cash_flow_amount(D$1,D$2,D$3,$A16),0)</f>
        <v>304236.51</v>
      </c>
      <c r="E16" s="52">
        <f t="shared" si="6"/>
        <v>-15103.93</v>
      </c>
      <c r="F16" s="52">
        <f t="shared" si="6"/>
        <v>-199590.28</v>
      </c>
      <c r="G16" s="52">
        <f t="shared" si="6"/>
        <v>-2351.4899999999998</v>
      </c>
      <c r="H16" s="52">
        <f t="shared" si="6"/>
        <v>-10708.94</v>
      </c>
      <c r="I16" s="52">
        <f t="shared" si="6"/>
        <v>-125293.68</v>
      </c>
      <c r="J16" s="52">
        <f t="shared" si="6"/>
        <v>-30847.34</v>
      </c>
      <c r="K16" s="52">
        <f t="shared" si="6"/>
        <v>-56900.34</v>
      </c>
      <c r="L16" s="52">
        <f t="shared" si="6"/>
        <v>-54721.120000000003</v>
      </c>
      <c r="M16" s="52">
        <f t="shared" si="6"/>
        <v>-63715.81</v>
      </c>
      <c r="N16" s="52">
        <f t="shared" si="6"/>
        <v>-1764.26</v>
      </c>
      <c r="O16" s="52">
        <f t="shared" si="6"/>
        <v>-96668.79</v>
      </c>
    </row>
    <row r="17" spans="1:15" ht="22.5" customHeight="1" x14ac:dyDescent="0.25">
      <c r="A17" s="9" t="s">
        <v>98</v>
      </c>
      <c r="C17" s="45" t="s">
        <v>84</v>
      </c>
      <c r="D17" s="52">
        <f>IFERROR(-get_cash_flow_amount(D$1,D$2,D$3,$A17),0)</f>
        <v>0</v>
      </c>
      <c r="E17" s="52">
        <f t="shared" si="6"/>
        <v>0</v>
      </c>
      <c r="F17" s="52">
        <f t="shared" si="6"/>
        <v>0</v>
      </c>
      <c r="G17" s="52">
        <f t="shared" si="6"/>
        <v>0</v>
      </c>
      <c r="H17" s="52">
        <f t="shared" si="6"/>
        <v>0</v>
      </c>
      <c r="I17" s="52">
        <f t="shared" si="6"/>
        <v>0</v>
      </c>
      <c r="J17" s="52">
        <f t="shared" si="6"/>
        <v>0</v>
      </c>
      <c r="K17" s="52">
        <f t="shared" si="6"/>
        <v>0</v>
      </c>
      <c r="L17" s="52">
        <f t="shared" si="6"/>
        <v>0</v>
      </c>
      <c r="M17" s="52">
        <f t="shared" si="6"/>
        <v>0</v>
      </c>
      <c r="N17" s="52">
        <f t="shared" si="6"/>
        <v>0</v>
      </c>
      <c r="O17" s="52">
        <f t="shared" si="6"/>
        <v>0</v>
      </c>
    </row>
    <row r="18" spans="1:15" ht="22.5" customHeight="1" x14ac:dyDescent="0.25">
      <c r="A18" s="9" t="s">
        <v>126</v>
      </c>
      <c r="C18" s="45" t="s">
        <v>125</v>
      </c>
      <c r="D18" s="52">
        <f>IFERROR(-get_cash_flow_amount(D$1,D$2,D$3,$A18),0)</f>
        <v>-164510.76999999999</v>
      </c>
      <c r="E18" s="52">
        <f t="shared" si="6"/>
        <v>-400837.33</v>
      </c>
      <c r="F18" s="52">
        <f t="shared" si="6"/>
        <v>189614.25</v>
      </c>
      <c r="G18" s="52">
        <f t="shared" si="6"/>
        <v>127200</v>
      </c>
      <c r="H18" s="52">
        <f t="shared" si="6"/>
        <v>82000</v>
      </c>
      <c r="I18" s="52">
        <f t="shared" si="6"/>
        <v>-244067.64</v>
      </c>
      <c r="J18" s="52">
        <f t="shared" si="6"/>
        <v>-230644.1</v>
      </c>
      <c r="K18" s="52">
        <f t="shared" si="6"/>
        <v>-82228.3</v>
      </c>
      <c r="L18" s="52">
        <f t="shared" si="6"/>
        <v>-375547.88</v>
      </c>
      <c r="M18" s="52">
        <f t="shared" si="6"/>
        <v>260000</v>
      </c>
      <c r="N18" s="52">
        <f t="shared" si="6"/>
        <v>599157.65</v>
      </c>
      <c r="O18" s="52">
        <f t="shared" si="6"/>
        <v>-716124.71</v>
      </c>
    </row>
    <row r="19" spans="1:15" ht="22.5" customHeight="1" x14ac:dyDescent="0.25">
      <c r="A19" s="9" t="s">
        <v>97</v>
      </c>
      <c r="C19" s="45" t="s">
        <v>83</v>
      </c>
      <c r="D19" s="52">
        <f t="shared" si="7"/>
        <v>-455322.92</v>
      </c>
      <c r="E19" s="52">
        <f t="shared" si="6"/>
        <v>-308880.96999999997</v>
      </c>
      <c r="F19" s="52">
        <f t="shared" si="6"/>
        <v>64300.93</v>
      </c>
      <c r="G19" s="52">
        <f t="shared" si="6"/>
        <v>-52683.56</v>
      </c>
      <c r="H19" s="52">
        <f t="shared" si="6"/>
        <v>13035.11</v>
      </c>
      <c r="I19" s="52">
        <f t="shared" si="6"/>
        <v>-78416</v>
      </c>
      <c r="J19" s="52">
        <f t="shared" si="6"/>
        <v>403053.67</v>
      </c>
      <c r="K19" s="52">
        <f t="shared" si="6"/>
        <v>395484.07</v>
      </c>
      <c r="L19" s="52">
        <f t="shared" si="6"/>
        <v>5432.1</v>
      </c>
      <c r="M19" s="52">
        <f t="shared" si="6"/>
        <v>182583.92</v>
      </c>
      <c r="N19" s="52">
        <f t="shared" si="6"/>
        <v>-895794.65</v>
      </c>
      <c r="O19" s="52">
        <f t="shared" si="6"/>
        <v>221819.62</v>
      </c>
    </row>
    <row r="20" spans="1:15" ht="22.5" customHeight="1" x14ac:dyDescent="0.25">
      <c r="A20" s="9" t="s">
        <v>74</v>
      </c>
      <c r="C20" s="45" t="s">
        <v>70</v>
      </c>
      <c r="D20" s="52">
        <f t="shared" si="7"/>
        <v>-106496.89000100001</v>
      </c>
      <c r="E20" s="52">
        <f t="shared" si="6"/>
        <v>-127340.560004</v>
      </c>
      <c r="F20" s="52">
        <f t="shared" si="6"/>
        <v>-115466.919996</v>
      </c>
      <c r="G20" s="52">
        <f t="shared" si="6"/>
        <v>-14843.33</v>
      </c>
      <c r="H20" s="52">
        <f t="shared" si="6"/>
        <v>214215.35800000001</v>
      </c>
      <c r="I20" s="52">
        <f t="shared" si="6"/>
        <v>1339672.277</v>
      </c>
      <c r="J20" s="52">
        <f t="shared" si="6"/>
        <v>-514369.08</v>
      </c>
      <c r="K20" s="52">
        <f t="shared" si="6"/>
        <v>-154685.58600899999</v>
      </c>
      <c r="L20" s="52">
        <f t="shared" si="6"/>
        <v>-344123.16990799998</v>
      </c>
      <c r="M20" s="52">
        <f t="shared" si="6"/>
        <v>-759983.19999600004</v>
      </c>
      <c r="N20" s="52">
        <f t="shared" si="6"/>
        <v>-75981.62</v>
      </c>
      <c r="O20" s="52">
        <f t="shared" si="6"/>
        <v>-312038.41999000002</v>
      </c>
    </row>
    <row r="21" spans="1:15" ht="22.5" customHeight="1" x14ac:dyDescent="0.25">
      <c r="A21" s="9" t="s">
        <v>75</v>
      </c>
      <c r="C21" s="45" t="s">
        <v>71</v>
      </c>
      <c r="D21" s="52">
        <f t="shared" si="7"/>
        <v>0</v>
      </c>
      <c r="E21" s="52">
        <f t="shared" si="6"/>
        <v>0</v>
      </c>
      <c r="F21" s="52">
        <f t="shared" si="6"/>
        <v>0</v>
      </c>
      <c r="G21" s="52">
        <f t="shared" si="6"/>
        <v>0</v>
      </c>
      <c r="H21" s="52">
        <f t="shared" si="6"/>
        <v>0</v>
      </c>
      <c r="I21" s="52">
        <f t="shared" si="6"/>
        <v>0</v>
      </c>
      <c r="J21" s="52">
        <f t="shared" si="6"/>
        <v>0</v>
      </c>
      <c r="K21" s="52">
        <f t="shared" si="6"/>
        <v>0</v>
      </c>
      <c r="L21" s="52">
        <f t="shared" si="6"/>
        <v>0</v>
      </c>
      <c r="M21" s="52">
        <f t="shared" si="6"/>
        <v>0</v>
      </c>
      <c r="N21" s="52">
        <f t="shared" si="6"/>
        <v>0</v>
      </c>
      <c r="O21" s="52">
        <f t="shared" si="6"/>
        <v>0</v>
      </c>
    </row>
    <row r="22" spans="1:15" ht="22.5" customHeight="1" x14ac:dyDescent="0.25">
      <c r="A22" s="9" t="s">
        <v>72</v>
      </c>
      <c r="B22" s="43"/>
      <c r="C22" s="46" t="s">
        <v>68</v>
      </c>
      <c r="D22" s="53">
        <f t="shared" si="7"/>
        <v>-1521398.69</v>
      </c>
      <c r="E22" s="53">
        <f t="shared" si="6"/>
        <v>618241.42000000004</v>
      </c>
      <c r="F22" s="53">
        <f t="shared" si="6"/>
        <v>-4847.46</v>
      </c>
      <c r="G22" s="53">
        <f t="shared" si="6"/>
        <v>1521.43</v>
      </c>
      <c r="H22" s="53">
        <f t="shared" si="6"/>
        <v>-44326.57</v>
      </c>
      <c r="I22" s="53">
        <f t="shared" si="6"/>
        <v>1457008.32</v>
      </c>
      <c r="J22" s="53">
        <f t="shared" si="6"/>
        <v>419144.14</v>
      </c>
      <c r="K22" s="53">
        <f t="shared" si="6"/>
        <v>-439656.1</v>
      </c>
      <c r="L22" s="53">
        <f t="shared" si="6"/>
        <v>643319.57999999996</v>
      </c>
      <c r="M22" s="53">
        <f t="shared" si="6"/>
        <v>316260.17</v>
      </c>
      <c r="N22" s="53">
        <f t="shared" si="6"/>
        <v>1626961.62</v>
      </c>
      <c r="O22" s="53">
        <f t="shared" si="6"/>
        <v>-259113.94</v>
      </c>
    </row>
    <row r="23" spans="1:15" ht="22.5" customHeight="1" x14ac:dyDescent="0.25">
      <c r="B23" s="11" t="s">
        <v>110</v>
      </c>
      <c r="D23" s="52">
        <f t="shared" ref="D23:O23" si="8">SUM(D13:D22)</f>
        <v>452934.23000000045</v>
      </c>
      <c r="E23" s="52">
        <f t="shared" si="8"/>
        <v>-295218.28999999992</v>
      </c>
      <c r="F23" s="52">
        <f t="shared" si="8"/>
        <v>-150085.14999999997</v>
      </c>
      <c r="G23" s="52">
        <f t="shared" si="8"/>
        <v>-14244.660000000009</v>
      </c>
      <c r="H23" s="52">
        <f t="shared" si="8"/>
        <v>-171014.69</v>
      </c>
      <c r="I23" s="52">
        <f t="shared" si="8"/>
        <v>1127206.83</v>
      </c>
      <c r="J23" s="52">
        <f t="shared" si="8"/>
        <v>6863.539999999979</v>
      </c>
      <c r="K23" s="52">
        <f t="shared" si="8"/>
        <v>-559446.00999999989</v>
      </c>
      <c r="L23" s="52">
        <f t="shared" si="8"/>
        <v>-218456.82999999996</v>
      </c>
      <c r="M23" s="52">
        <f t="shared" si="8"/>
        <v>-122182.94</v>
      </c>
      <c r="N23" s="52">
        <f t="shared" si="8"/>
        <v>1114627.07</v>
      </c>
      <c r="O23" s="52">
        <f t="shared" si="8"/>
        <v>-814409.64999999991</v>
      </c>
    </row>
    <row r="24" spans="1:15" ht="9" customHeight="1" x14ac:dyDescent="0.25"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</row>
    <row r="25" spans="1:15" ht="22.5" customHeight="1" x14ac:dyDescent="0.25">
      <c r="B25" s="11" t="s">
        <v>111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</row>
    <row r="26" spans="1:15" ht="22.5" customHeight="1" x14ac:dyDescent="0.25">
      <c r="A26" s="9" t="s">
        <v>124</v>
      </c>
      <c r="B26" s="43"/>
      <c r="C26" s="46" t="s">
        <v>113</v>
      </c>
      <c r="D26" s="53">
        <f>IFERROR(-get_cash_flow_amount(D$1,D$2,D$3,$A26),0)</f>
        <v>-1058.96</v>
      </c>
      <c r="E26" s="53">
        <f t="shared" ref="E26:O26" si="9">IFERROR(-get_cash_flow_amount(E$1,E$2,E$3,$A26),0)</f>
        <v>0</v>
      </c>
      <c r="F26" s="53">
        <f t="shared" si="9"/>
        <v>-439.99</v>
      </c>
      <c r="G26" s="53">
        <f t="shared" si="9"/>
        <v>0</v>
      </c>
      <c r="H26" s="53">
        <f t="shared" si="9"/>
        <v>-3276</v>
      </c>
      <c r="I26" s="53">
        <f t="shared" si="9"/>
        <v>-299.99</v>
      </c>
      <c r="J26" s="53">
        <f t="shared" si="9"/>
        <v>-2494.89</v>
      </c>
      <c r="K26" s="53">
        <f t="shared" si="9"/>
        <v>0</v>
      </c>
      <c r="L26" s="53">
        <f t="shared" si="9"/>
        <v>-1505.92</v>
      </c>
      <c r="M26" s="53">
        <f t="shared" si="9"/>
        <v>-498.99</v>
      </c>
      <c r="N26" s="53">
        <f t="shared" si="9"/>
        <v>0</v>
      </c>
      <c r="O26" s="53">
        <f t="shared" si="9"/>
        <v>-579</v>
      </c>
    </row>
    <row r="27" spans="1:15" ht="22.5" customHeight="1" x14ac:dyDescent="0.25">
      <c r="B27" s="11" t="s">
        <v>118</v>
      </c>
      <c r="D27" s="52">
        <f>SUM(D26)</f>
        <v>-1058.96</v>
      </c>
      <c r="E27" s="52">
        <f t="shared" ref="E27:O27" si="10">SUM(E26)</f>
        <v>0</v>
      </c>
      <c r="F27" s="52">
        <f t="shared" si="10"/>
        <v>-439.99</v>
      </c>
      <c r="G27" s="52">
        <f t="shared" si="10"/>
        <v>0</v>
      </c>
      <c r="H27" s="52">
        <f t="shared" si="10"/>
        <v>-3276</v>
      </c>
      <c r="I27" s="52">
        <f t="shared" si="10"/>
        <v>-299.99</v>
      </c>
      <c r="J27" s="52">
        <f t="shared" si="10"/>
        <v>-2494.89</v>
      </c>
      <c r="K27" s="52">
        <f t="shared" si="10"/>
        <v>0</v>
      </c>
      <c r="L27" s="52">
        <f t="shared" si="10"/>
        <v>-1505.92</v>
      </c>
      <c r="M27" s="52">
        <f t="shared" si="10"/>
        <v>-498.99</v>
      </c>
      <c r="N27" s="52">
        <f t="shared" si="10"/>
        <v>0</v>
      </c>
      <c r="O27" s="52">
        <f t="shared" si="10"/>
        <v>-579</v>
      </c>
    </row>
    <row r="28" spans="1:15" ht="9" customHeight="1" x14ac:dyDescent="0.25"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</row>
    <row r="29" spans="1:15" ht="22.5" customHeight="1" x14ac:dyDescent="0.25">
      <c r="B29" s="11" t="s">
        <v>112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</row>
    <row r="30" spans="1:15" ht="22.5" customHeight="1" x14ac:dyDescent="0.25">
      <c r="A30" s="9" t="s">
        <v>102</v>
      </c>
      <c r="C30" s="45" t="s">
        <v>93</v>
      </c>
      <c r="D30" s="55">
        <f>IFERROR(-get_cash_flow_amount(D$1,D$2,D$3,$A30),0)</f>
        <v>0</v>
      </c>
      <c r="E30" s="55">
        <f t="shared" ref="D30:O32" si="11">IFERROR(-get_cash_flow_amount(E$1,E$2,E$3,$A30),0)</f>
        <v>0</v>
      </c>
      <c r="F30" s="55">
        <f t="shared" si="11"/>
        <v>0</v>
      </c>
      <c r="G30" s="55">
        <f t="shared" si="11"/>
        <v>0</v>
      </c>
      <c r="H30" s="55">
        <f t="shared" si="11"/>
        <v>0</v>
      </c>
      <c r="I30" s="55">
        <f t="shared" si="11"/>
        <v>0</v>
      </c>
      <c r="J30" s="55">
        <f t="shared" si="11"/>
        <v>0</v>
      </c>
      <c r="K30" s="55">
        <f t="shared" si="11"/>
        <v>0</v>
      </c>
      <c r="L30" s="55">
        <f t="shared" si="11"/>
        <v>0</v>
      </c>
      <c r="M30" s="55">
        <f t="shared" si="11"/>
        <v>0</v>
      </c>
      <c r="N30" s="55">
        <f t="shared" si="11"/>
        <v>0</v>
      </c>
      <c r="O30" s="55">
        <f t="shared" si="11"/>
        <v>0</v>
      </c>
    </row>
    <row r="31" spans="1:15" ht="22.5" customHeight="1" x14ac:dyDescent="0.25">
      <c r="A31" s="9" t="s">
        <v>104</v>
      </c>
      <c r="C31" s="45" t="s">
        <v>94</v>
      </c>
      <c r="D31" s="55">
        <f>IFERROR(-get_cash_flow_amount(D$1,D$2,D$3,$A31),0)</f>
        <v>0</v>
      </c>
      <c r="E31" s="55">
        <f t="shared" si="11"/>
        <v>0</v>
      </c>
      <c r="F31" s="55">
        <f t="shared" si="11"/>
        <v>0</v>
      </c>
      <c r="G31" s="55">
        <f t="shared" si="11"/>
        <v>0</v>
      </c>
      <c r="H31" s="55">
        <f t="shared" si="11"/>
        <v>0</v>
      </c>
      <c r="I31" s="55">
        <f t="shared" si="11"/>
        <v>0</v>
      </c>
      <c r="J31" s="55">
        <f t="shared" si="11"/>
        <v>0</v>
      </c>
      <c r="K31" s="55">
        <f t="shared" si="11"/>
        <v>0</v>
      </c>
      <c r="L31" s="55">
        <f t="shared" si="11"/>
        <v>0</v>
      </c>
      <c r="M31" s="55">
        <f t="shared" si="11"/>
        <v>0</v>
      </c>
      <c r="N31" s="55">
        <f t="shared" si="11"/>
        <v>0</v>
      </c>
      <c r="O31" s="55">
        <f t="shared" si="11"/>
        <v>-125000</v>
      </c>
    </row>
    <row r="32" spans="1:15" ht="22.5" customHeight="1" x14ac:dyDescent="0.25">
      <c r="A32" s="9" t="s">
        <v>103</v>
      </c>
      <c r="B32" s="43"/>
      <c r="C32" s="46" t="s">
        <v>92</v>
      </c>
      <c r="D32" s="53">
        <f t="shared" si="11"/>
        <v>0</v>
      </c>
      <c r="E32" s="53">
        <f t="shared" si="11"/>
        <v>0</v>
      </c>
      <c r="F32" s="53">
        <f t="shared" si="11"/>
        <v>0</v>
      </c>
      <c r="G32" s="53">
        <f t="shared" si="11"/>
        <v>0</v>
      </c>
      <c r="H32" s="53">
        <f t="shared" si="11"/>
        <v>0</v>
      </c>
      <c r="I32" s="53">
        <f t="shared" si="11"/>
        <v>0</v>
      </c>
      <c r="J32" s="53">
        <f t="shared" si="11"/>
        <v>0</v>
      </c>
      <c r="K32" s="53">
        <f t="shared" si="11"/>
        <v>0</v>
      </c>
      <c r="L32" s="53">
        <f t="shared" si="11"/>
        <v>0</v>
      </c>
      <c r="M32" s="53">
        <f t="shared" si="11"/>
        <v>0</v>
      </c>
      <c r="N32" s="53">
        <f t="shared" si="11"/>
        <v>0</v>
      </c>
      <c r="O32" s="53">
        <f t="shared" si="11"/>
        <v>0</v>
      </c>
    </row>
    <row r="33" spans="1:15" ht="22.5" customHeight="1" x14ac:dyDescent="0.25">
      <c r="B33" s="11" t="s">
        <v>119</v>
      </c>
      <c r="D33" s="54">
        <f>SUM(D30:D32)</f>
        <v>0</v>
      </c>
      <c r="E33" s="54">
        <f t="shared" ref="E33:O33" si="12">SUM(E30:E32)</f>
        <v>0</v>
      </c>
      <c r="F33" s="54">
        <f t="shared" si="12"/>
        <v>0</v>
      </c>
      <c r="G33" s="54">
        <f t="shared" si="12"/>
        <v>0</v>
      </c>
      <c r="H33" s="54">
        <f t="shared" si="12"/>
        <v>0</v>
      </c>
      <c r="I33" s="54">
        <f t="shared" si="12"/>
        <v>0</v>
      </c>
      <c r="J33" s="54">
        <f t="shared" si="12"/>
        <v>0</v>
      </c>
      <c r="K33" s="54">
        <f t="shared" si="12"/>
        <v>0</v>
      </c>
      <c r="L33" s="54">
        <f t="shared" si="12"/>
        <v>0</v>
      </c>
      <c r="M33" s="54">
        <f t="shared" si="12"/>
        <v>0</v>
      </c>
      <c r="N33" s="54">
        <f t="shared" si="12"/>
        <v>0</v>
      </c>
      <c r="O33" s="54">
        <f t="shared" si="12"/>
        <v>-125000</v>
      </c>
    </row>
    <row r="34" spans="1:15" ht="9" customHeight="1" x14ac:dyDescent="0.25"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</row>
    <row r="35" spans="1:15" ht="22.5" customHeight="1" x14ac:dyDescent="0.25">
      <c r="B35" s="48" t="s">
        <v>120</v>
      </c>
      <c r="C35" s="48"/>
      <c r="D35" s="56">
        <f>D23+D27+D33</f>
        <v>451875.27000000043</v>
      </c>
      <c r="E35" s="56">
        <f t="shared" ref="E35:O35" si="13">E23+E27+E33</f>
        <v>-295218.28999999992</v>
      </c>
      <c r="F35" s="56">
        <f t="shared" si="13"/>
        <v>-150525.13999999996</v>
      </c>
      <c r="G35" s="56">
        <f t="shared" si="13"/>
        <v>-14244.660000000009</v>
      </c>
      <c r="H35" s="56">
        <f t="shared" si="13"/>
        <v>-174290.69</v>
      </c>
      <c r="I35" s="56">
        <f t="shared" si="13"/>
        <v>1126906.8400000001</v>
      </c>
      <c r="J35" s="56">
        <f t="shared" si="13"/>
        <v>4368.6499999999796</v>
      </c>
      <c r="K35" s="56">
        <f t="shared" si="13"/>
        <v>-559446.00999999989</v>
      </c>
      <c r="L35" s="56">
        <f t="shared" si="13"/>
        <v>-219962.74999999997</v>
      </c>
      <c r="M35" s="56">
        <f t="shared" si="13"/>
        <v>-122681.93000000001</v>
      </c>
      <c r="N35" s="56">
        <f t="shared" si="13"/>
        <v>1114627.07</v>
      </c>
      <c r="O35" s="56">
        <f t="shared" si="13"/>
        <v>-939988.64999999991</v>
      </c>
    </row>
    <row r="36" spans="1:15" ht="9" customHeight="1" x14ac:dyDescent="0.25">
      <c r="B36" s="11"/>
      <c r="C36" s="11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</row>
    <row r="37" spans="1:15" ht="22.5" customHeight="1" x14ac:dyDescent="0.25">
      <c r="A37" s="9" t="s">
        <v>73</v>
      </c>
      <c r="B37" s="11" t="s">
        <v>121</v>
      </c>
      <c r="C37" s="11"/>
      <c r="D37" s="52">
        <f>get_balance_sheet_amount(D$1,D$4,$A37)</f>
        <v>50754.06</v>
      </c>
      <c r="E37" s="52">
        <f t="shared" ref="E37:O37" si="14">get_balance_sheet_amount(E$1,E$4,$A37)</f>
        <v>502629.33</v>
      </c>
      <c r="F37" s="52">
        <f t="shared" si="14"/>
        <v>207411.04</v>
      </c>
      <c r="G37" s="52">
        <f t="shared" si="14"/>
        <v>56885.9</v>
      </c>
      <c r="H37" s="52">
        <f t="shared" si="14"/>
        <v>42641.24</v>
      </c>
      <c r="I37" s="52">
        <f t="shared" si="14"/>
        <v>-131649.45000000001</v>
      </c>
      <c r="J37" s="52">
        <f t="shared" si="14"/>
        <v>995257.39</v>
      </c>
      <c r="K37" s="52">
        <f t="shared" si="14"/>
        <v>999626.04</v>
      </c>
      <c r="L37" s="52">
        <f t="shared" si="14"/>
        <v>440180.03</v>
      </c>
      <c r="M37" s="52">
        <f t="shared" si="14"/>
        <v>220217.28</v>
      </c>
      <c r="N37" s="52">
        <f t="shared" si="14"/>
        <v>97535.35</v>
      </c>
      <c r="O37" s="52">
        <f t="shared" si="14"/>
        <v>1212162.42</v>
      </c>
    </row>
    <row r="38" spans="1:15" ht="22.5" customHeight="1" x14ac:dyDescent="0.25">
      <c r="B38" s="47" t="s">
        <v>128</v>
      </c>
      <c r="C38" s="47"/>
      <c r="D38" s="53">
        <f>D35</f>
        <v>451875.27000000043</v>
      </c>
      <c r="E38" s="53">
        <f t="shared" ref="E38:O38" si="15">E35</f>
        <v>-295218.28999999992</v>
      </c>
      <c r="F38" s="53">
        <f t="shared" si="15"/>
        <v>-150525.13999999996</v>
      </c>
      <c r="G38" s="53">
        <f t="shared" si="15"/>
        <v>-14244.660000000009</v>
      </c>
      <c r="H38" s="53">
        <f t="shared" si="15"/>
        <v>-174290.69</v>
      </c>
      <c r="I38" s="53">
        <f t="shared" si="15"/>
        <v>1126906.8400000001</v>
      </c>
      <c r="J38" s="53">
        <f t="shared" si="15"/>
        <v>4368.6499999999796</v>
      </c>
      <c r="K38" s="53">
        <f t="shared" si="15"/>
        <v>-559446.00999999989</v>
      </c>
      <c r="L38" s="53">
        <f t="shared" si="15"/>
        <v>-219962.74999999997</v>
      </c>
      <c r="M38" s="53">
        <f t="shared" si="15"/>
        <v>-122681.93000000001</v>
      </c>
      <c r="N38" s="53">
        <f t="shared" si="15"/>
        <v>1114627.07</v>
      </c>
      <c r="O38" s="53">
        <f t="shared" si="15"/>
        <v>-939988.64999999991</v>
      </c>
    </row>
    <row r="39" spans="1:15" ht="22.5" customHeight="1" thickBot="1" x14ac:dyDescent="0.3">
      <c r="A39" s="9" t="s">
        <v>73</v>
      </c>
      <c r="B39" s="50" t="s">
        <v>122</v>
      </c>
      <c r="C39" s="50"/>
      <c r="D39" s="57">
        <f>get_balance_sheet_amount(D$1,D$3,$A39)</f>
        <v>502629.33</v>
      </c>
      <c r="E39" s="57">
        <f t="shared" ref="E39:O39" si="16">get_balance_sheet_amount(E$1,E$3,$A39)</f>
        <v>207411.04</v>
      </c>
      <c r="F39" s="57">
        <f t="shared" si="16"/>
        <v>56885.9</v>
      </c>
      <c r="G39" s="57">
        <f t="shared" si="16"/>
        <v>42641.24</v>
      </c>
      <c r="H39" s="57">
        <f t="shared" si="16"/>
        <v>-131649.45000000001</v>
      </c>
      <c r="I39" s="57">
        <f t="shared" si="16"/>
        <v>995257.39</v>
      </c>
      <c r="J39" s="57">
        <f t="shared" si="16"/>
        <v>999626.04</v>
      </c>
      <c r="K39" s="57">
        <f t="shared" si="16"/>
        <v>440180.03</v>
      </c>
      <c r="L39" s="57">
        <f t="shared" si="16"/>
        <v>220217.28</v>
      </c>
      <c r="M39" s="57">
        <f t="shared" si="16"/>
        <v>97535.35</v>
      </c>
      <c r="N39" s="57">
        <f t="shared" si="16"/>
        <v>1212162.42</v>
      </c>
      <c r="O39" s="57">
        <f t="shared" si="16"/>
        <v>272173.77</v>
      </c>
    </row>
    <row r="40" spans="1:15" ht="16.5" thickTop="1" x14ac:dyDescent="0.25">
      <c r="A40" s="9"/>
      <c r="B40" s="11"/>
      <c r="C40" s="11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</row>
    <row r="41" spans="1:15" x14ac:dyDescent="0.25">
      <c r="B41" s="48" t="s">
        <v>129</v>
      </c>
      <c r="C41" s="49"/>
      <c r="D41" s="58">
        <f>D37+D38-D39</f>
        <v>0</v>
      </c>
      <c r="E41" s="58">
        <f t="shared" ref="E41:O41" si="17">E37+E38-E39</f>
        <v>0</v>
      </c>
      <c r="F41" s="58">
        <f t="shared" si="17"/>
        <v>0</v>
      </c>
      <c r="G41" s="58">
        <f t="shared" si="17"/>
        <v>0</v>
      </c>
      <c r="H41" s="58">
        <f t="shared" si="17"/>
        <v>0</v>
      </c>
      <c r="I41" s="58">
        <f t="shared" si="17"/>
        <v>0</v>
      </c>
      <c r="J41" s="58">
        <f t="shared" si="17"/>
        <v>0</v>
      </c>
      <c r="K41" s="58">
        <f t="shared" si="17"/>
        <v>0</v>
      </c>
      <c r="L41" s="58">
        <f t="shared" si="17"/>
        <v>0</v>
      </c>
      <c r="M41" s="58">
        <f t="shared" si="17"/>
        <v>0</v>
      </c>
      <c r="N41" s="58">
        <f t="shared" si="17"/>
        <v>0</v>
      </c>
      <c r="O41" s="58">
        <f t="shared" si="17"/>
        <v>0</v>
      </c>
    </row>
    <row r="42" spans="1:15" x14ac:dyDescent="0.25"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</row>
  </sheetData>
  <mergeCells count="3">
    <mergeCell ref="B7:O7"/>
    <mergeCell ref="B6:O6"/>
    <mergeCell ref="B5:O5"/>
  </mergeCells>
  <phoneticPr fontId="19" type="noConversion"/>
  <conditionalFormatting sqref="D13:O41">
    <cfRule type="cellIs" dxfId="0" priority="1" operator="lessThan">
      <formula>0</formula>
    </cfRule>
  </conditionalFormatting>
  <pageMargins left="0.25" right="0.25" top="0.75" bottom="0.75" header="0.3" footer="0.3"/>
  <pageSetup scale="66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!" promptTitle="CompanyDB" xr:uid="{561C9BBD-1129-4F32-8C66-607ED06B76AB}">
          <x14:formula1>
            <xm:f>Databases!$A$2:$A$4</xm:f>
          </x14:formula1>
          <xm:sqref>D1:O1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7FED-DA75-4FC2-A1A2-CD4A973AE66D}">
  <sheetPr codeName="Sheet1"/>
  <dimension ref="A1:A7"/>
  <sheetViews>
    <sheetView workbookViewId="0">
      <selection activeCell="E12" sqref="E12"/>
    </sheetView>
  </sheetViews>
  <sheetFormatPr defaultRowHeight="15.75" x14ac:dyDescent="0.25"/>
  <cols>
    <col min="1" max="1" width="13.125" bestFit="1" customWidth="1"/>
  </cols>
  <sheetData>
    <row r="1" spans="1:1" x14ac:dyDescent="0.25">
      <c r="A1" t="s">
        <v>62</v>
      </c>
    </row>
    <row r="2" spans="1:1" x14ac:dyDescent="0.25">
      <c r="A2" t="s">
        <v>17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>
        <v>1887073</v>
      </c>
    </row>
    <row r="6" spans="1:1" x14ac:dyDescent="0.25">
      <c r="A6">
        <v>1891695</v>
      </c>
    </row>
    <row r="7" spans="1:1" x14ac:dyDescent="0.25">
      <c r="A7" t="s">
        <v>130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23" sqref="G23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Parameters</vt:lpstr>
      <vt:lpstr>Income Statement</vt:lpstr>
      <vt:lpstr>Balance Sheet</vt:lpstr>
      <vt:lpstr>Cash Flow Statement</vt:lpstr>
      <vt:lpstr>Databases</vt:lpstr>
      <vt:lpstr>xlwings.conf</vt:lpstr>
      <vt:lpstr>'Cash Flow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Jason</cp:lastModifiedBy>
  <cp:lastPrinted>2020-02-04T20:45:31Z</cp:lastPrinted>
  <dcterms:created xsi:type="dcterms:W3CDTF">2015-01-25T11:31:25Z</dcterms:created>
  <dcterms:modified xsi:type="dcterms:W3CDTF">2020-03-19T16:56:30Z</dcterms:modified>
</cp:coreProperties>
</file>